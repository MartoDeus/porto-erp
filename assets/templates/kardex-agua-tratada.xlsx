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04183CE-B9D3-4F65-AD2B-3D71395DD4C9}" xr6:coauthVersionLast="47" xr6:coauthVersionMax="47" xr10:uidLastSave="{00000000-0000-0000-0000-000000000000}"/>
  <bookViews>
    <workbookView xWindow="-120" yWindow="-120" windowWidth="20730" windowHeight="11040" xr2:uid="{6D6E43BA-F5C0-4A30-875D-8E63CE6EBA82}"/>
  </bookViews>
  <sheets>
    <sheet name="KARDEX AGUA TRATAD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2" l="1"/>
  <c r="B15" i="2"/>
  <c r="C14" i="2"/>
  <c r="B14" i="2"/>
  <c r="B13" i="2"/>
  <c r="C13" i="2"/>
  <c r="O9" i="2"/>
  <c r="O8" i="2"/>
  <c r="O7" i="2"/>
  <c r="N7" i="2"/>
  <c r="N8" i="2"/>
  <c r="N9" i="2"/>
  <c r="C9" i="2"/>
  <c r="B9" i="2"/>
  <c r="C8" i="2"/>
  <c r="B8" i="2"/>
  <c r="O11" i="2"/>
  <c r="O10" i="2"/>
  <c r="N11" i="2"/>
  <c r="N10" i="2"/>
  <c r="C11" i="2"/>
  <c r="B11" i="2"/>
  <c r="C10" i="2"/>
  <c r="B10" i="2"/>
  <c r="C12" i="2"/>
  <c r="C7" i="2"/>
  <c r="B12" i="2"/>
  <c r="B7" i="2"/>
</calcChain>
</file>

<file path=xl/sharedStrings.xml><?xml version="1.0" encoding="utf-8"?>
<sst xmlns="http://schemas.openxmlformats.org/spreadsheetml/2006/main" count="81" uniqueCount="28">
  <si>
    <t>FECHA</t>
  </si>
  <si>
    <t>MES</t>
  </si>
  <si>
    <t>AÑO</t>
  </si>
  <si>
    <t>NAVE</t>
  </si>
  <si>
    <t>TIPO AGRUPADO</t>
  </si>
  <si>
    <t>STOCK INICIAL</t>
  </si>
  <si>
    <t>TALARA</t>
  </si>
  <si>
    <t>PARIÑAS</t>
  </si>
  <si>
    <t>DESPACHO</t>
  </si>
  <si>
    <t>CHIMERA</t>
  </si>
  <si>
    <t>PLATAFORMA/NAVE</t>
  </si>
  <si>
    <t>ZZ</t>
  </si>
  <si>
    <t>PLATAFORMA</t>
  </si>
  <si>
    <t>TIPO DE MOVIMIENTO</t>
  </si>
  <si>
    <t>ZONA</t>
  </si>
  <si>
    <t>LOBITOS</t>
  </si>
  <si>
    <t>CANTIDAD</t>
  </si>
  <si>
    <t>N° VALE</t>
  </si>
  <si>
    <t>HORA INICIO</t>
  </si>
  <si>
    <t>HORA FIN</t>
  </si>
  <si>
    <t>TIEMPO DE RECARGA</t>
  </si>
  <si>
    <t>STOCK FINAL</t>
  </si>
  <si>
    <t>-</t>
  </si>
  <si>
    <t>RECARGA</t>
  </si>
  <si>
    <t>TORTUGA</t>
  </si>
  <si>
    <t>LO10</t>
  </si>
  <si>
    <t>LO3</t>
  </si>
  <si>
    <t>KARDEX AGUA TRATADA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</si>
</sst>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1DA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8BF76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BF76D"/>
      <color rgb="FFFCD5B4"/>
      <color rgb="FFFF6565"/>
      <color rgb="FFDCE6F2"/>
      <color rgb="FFCCC1DA"/>
      <color rgb="FFFF11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190500</xdr:colOff>
      <xdr:row>0</xdr:row>
      <xdr:rowOff>0</xdr:rowOff>
    </xdr:from>
    <xdr:to>
      <xdr:col>12</xdr:col>
      <xdr:colOff>361950</xdr:colOff>
      <xdr:row>4</xdr:row>
      <xdr:rowOff>152651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EE8986-28F8-FB01-C791-2076D7038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5" y="0"/>
          <a:ext cx="1695450" cy="914651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142876</xdr:colOff>
      <xdr:row>0</xdr:row>
      <xdr:rowOff>0</xdr:rowOff>
    </xdr:from>
    <xdr:to>
      <xdr:col>4</xdr:col>
      <xdr:colOff>304800</xdr:colOff>
      <xdr:row>4</xdr:row>
      <xdr:rowOff>161924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A257990-C249-8F9A-C59B-396DF2963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6" y="0"/>
          <a:ext cx="923924" cy="923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5087-3FF3-4882-B32B-1C590DEEE10B}">
  <dimension ref="A1:O15"/>
  <sheetViews>
    <sheetView tabSelected="1" zoomScaleNormal="100" workbookViewId="0">
      <selection activeCell="H17" sqref="H17"/>
    </sheetView>
  </sheetViews>
  <sheetFormatPr baseColWidth="10" defaultRowHeight="15" x14ac:dyDescent="0.25"/>
  <cols>
    <col min="5" max="5" width="13.5703125" bestFit="1" customWidth="1"/>
    <col min="6" max="6" width="19.140625" bestFit="1" customWidth="1"/>
    <col min="7" max="7" width="13.140625" bestFit="1" customWidth="1"/>
    <col min="8" max="8" width="13.5703125" customWidth="1"/>
    <col min="9" max="9" width="12.42578125" bestFit="1" customWidth="1"/>
    <col min="14" max="14" width="12.5703125" customWidth="1"/>
  </cols>
  <sheetData>
    <row r="1" spans="1:15" x14ac:dyDescent="0.25">
      <c r="A1" s="18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5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1:15" ht="30" x14ac:dyDescent="0.25">
      <c r="A6" s="5" t="s">
        <v>0</v>
      </c>
      <c r="B6" s="5" t="s">
        <v>1</v>
      </c>
      <c r="C6" s="5" t="s">
        <v>2</v>
      </c>
      <c r="D6" s="5" t="s">
        <v>3</v>
      </c>
      <c r="E6" s="6" t="s">
        <v>5</v>
      </c>
      <c r="F6" s="7" t="s">
        <v>10</v>
      </c>
      <c r="G6" s="8" t="s">
        <v>4</v>
      </c>
      <c r="H6" s="8" t="s">
        <v>13</v>
      </c>
      <c r="I6" s="7" t="s">
        <v>14</v>
      </c>
      <c r="J6" s="5" t="s">
        <v>16</v>
      </c>
      <c r="K6" s="5" t="s">
        <v>17</v>
      </c>
      <c r="L6" s="5" t="s">
        <v>18</v>
      </c>
      <c r="M6" s="5" t="s">
        <v>19</v>
      </c>
      <c r="N6" s="9" t="s">
        <v>20</v>
      </c>
      <c r="O6" s="10" t="s">
        <v>21</v>
      </c>
    </row>
    <row r="7" spans="1:15" x14ac:dyDescent="0.25">
      <c r="A7" s="1">
        <v>46022</v>
      </c>
      <c r="B7" s="3" t="str">
        <f>TEXT(A7,"YYYY")</f>
        <v>2025</v>
      </c>
      <c r="C7" s="3" t="str">
        <f>TEXT(A7,"MMMM")</f>
        <v>Diciembre</v>
      </c>
      <c r="D7" s="2" t="s">
        <v>6</v>
      </c>
      <c r="E7" s="13">
        <v>1360</v>
      </c>
      <c r="F7" s="2" t="s">
        <v>11</v>
      </c>
      <c r="G7" s="2" t="s">
        <v>12</v>
      </c>
      <c r="H7" s="15" t="s">
        <v>8</v>
      </c>
      <c r="I7" s="2" t="s">
        <v>15</v>
      </c>
      <c r="J7" s="2">
        <v>200</v>
      </c>
      <c r="K7" s="2">
        <v>1305</v>
      </c>
      <c r="L7" s="14">
        <v>0.27152777777777776</v>
      </c>
      <c r="M7" s="14">
        <v>0.27430555555555558</v>
      </c>
      <c r="N7" s="4">
        <f>+M7-L7</f>
        <v>2.7777777777778234E-3</v>
      </c>
      <c r="O7" s="11">
        <f>+E7-J7</f>
        <v>1160</v>
      </c>
    </row>
    <row r="8" spans="1:15" x14ac:dyDescent="0.25">
      <c r="A8" s="1">
        <v>46022</v>
      </c>
      <c r="B8" s="3" t="str">
        <f>TEXT(A8,"YYYY")</f>
        <v>2025</v>
      </c>
      <c r="C8" s="3" t="str">
        <f>TEXT(A8,"MMMM")</f>
        <v>Diciembre</v>
      </c>
      <c r="D8" s="2" t="s">
        <v>6</v>
      </c>
      <c r="E8" s="13">
        <v>1160</v>
      </c>
      <c r="F8" s="2" t="s">
        <v>25</v>
      </c>
      <c r="G8" s="2" t="s">
        <v>12</v>
      </c>
      <c r="H8" s="15" t="s">
        <v>8</v>
      </c>
      <c r="I8" s="2" t="s">
        <v>15</v>
      </c>
      <c r="J8" s="2">
        <v>300</v>
      </c>
      <c r="K8" s="2">
        <v>1306</v>
      </c>
      <c r="L8" s="14">
        <v>0.62361111111111112</v>
      </c>
      <c r="M8" s="14">
        <v>0.62638888888888888</v>
      </c>
      <c r="N8" s="4">
        <f>+M8-L8</f>
        <v>2.7777777777777679E-3</v>
      </c>
      <c r="O8" s="11">
        <f>+E8-J8</f>
        <v>860</v>
      </c>
    </row>
    <row r="9" spans="1:15" x14ac:dyDescent="0.25">
      <c r="A9" s="1">
        <v>46022</v>
      </c>
      <c r="B9" s="3" t="str">
        <f>TEXT(A9,"YYYY")</f>
        <v>2025</v>
      </c>
      <c r="C9" s="3" t="str">
        <f>TEXT(A9,"MMMM")</f>
        <v>Diciembre</v>
      </c>
      <c r="D9" s="2" t="s">
        <v>6</v>
      </c>
      <c r="E9" s="13">
        <v>860</v>
      </c>
      <c r="F9" s="2" t="s">
        <v>26</v>
      </c>
      <c r="G9" s="2" t="s">
        <v>12</v>
      </c>
      <c r="H9" s="15" t="s">
        <v>8</v>
      </c>
      <c r="I9" s="2" t="s">
        <v>15</v>
      </c>
      <c r="J9" s="2">
        <v>200</v>
      </c>
      <c r="K9" s="2">
        <v>1307</v>
      </c>
      <c r="L9" s="14">
        <v>0.64236111111111116</v>
      </c>
      <c r="M9" s="14">
        <v>0.64583333333333337</v>
      </c>
      <c r="N9" s="4">
        <f>+M9-L9</f>
        <v>3.4722222222222099E-3</v>
      </c>
      <c r="O9" s="11">
        <f>+E9-J9</f>
        <v>660</v>
      </c>
    </row>
    <row r="10" spans="1:15" x14ac:dyDescent="0.25">
      <c r="A10" s="1">
        <v>46022</v>
      </c>
      <c r="B10" s="3" t="str">
        <f t="shared" ref="B10:B11" si="0">TEXT(A10,"YYYY")</f>
        <v>2025</v>
      </c>
      <c r="C10" s="3" t="str">
        <f t="shared" ref="C10" si="1">TEXT(A10,"MMMM")</f>
        <v>Diciembre</v>
      </c>
      <c r="D10" s="2" t="s">
        <v>7</v>
      </c>
      <c r="E10" s="13">
        <v>600</v>
      </c>
      <c r="F10" s="2" t="s">
        <v>22</v>
      </c>
      <c r="G10" s="2" t="s">
        <v>22</v>
      </c>
      <c r="H10" s="16" t="s">
        <v>23</v>
      </c>
      <c r="I10" s="2" t="s">
        <v>24</v>
      </c>
      <c r="J10" s="2">
        <v>500</v>
      </c>
      <c r="K10" s="2">
        <v>1840</v>
      </c>
      <c r="L10" s="14">
        <v>6.3888888888888884E-2</v>
      </c>
      <c r="M10" s="14">
        <v>6.805555555555555E-2</v>
      </c>
      <c r="N10" s="4">
        <f>+M10-L10</f>
        <v>4.1666666666666657E-3</v>
      </c>
      <c r="O10" s="11">
        <f>+E10+J10</f>
        <v>1100</v>
      </c>
    </row>
    <row r="11" spans="1:15" x14ac:dyDescent="0.25">
      <c r="A11" s="1">
        <v>46022</v>
      </c>
      <c r="B11" s="3" t="str">
        <f t="shared" si="0"/>
        <v>2025</v>
      </c>
      <c r="C11" s="3" t="str">
        <f t="shared" ref="C11" si="2">TEXT(A11,"MMMM")</f>
        <v>Diciembre</v>
      </c>
      <c r="D11" s="2" t="s">
        <v>7</v>
      </c>
      <c r="E11" s="13">
        <v>1100</v>
      </c>
      <c r="F11" s="2" t="s">
        <v>22</v>
      </c>
      <c r="G11" s="2" t="s">
        <v>22</v>
      </c>
      <c r="H11" s="16" t="s">
        <v>23</v>
      </c>
      <c r="I11" s="2" t="s">
        <v>24</v>
      </c>
      <c r="J11" s="2">
        <v>500</v>
      </c>
      <c r="K11" s="2">
        <v>1841</v>
      </c>
      <c r="L11" s="14">
        <v>0.34722222222222221</v>
      </c>
      <c r="M11" s="14">
        <v>0.35416666666666669</v>
      </c>
      <c r="N11" s="4">
        <f>+M11-L11</f>
        <v>6.9444444444444753E-3</v>
      </c>
      <c r="O11" s="11">
        <f>+E11+J11</f>
        <v>1600</v>
      </c>
    </row>
    <row r="12" spans="1:15" x14ac:dyDescent="0.25">
      <c r="A12" s="1">
        <v>46022</v>
      </c>
      <c r="B12" s="3" t="str">
        <f t="shared" ref="B12:B15" si="3">TEXT(A12,"YYYY")</f>
        <v>2025</v>
      </c>
      <c r="C12" s="3" t="str">
        <f t="shared" ref="C12:C13" si="4">TEXT(A12,"MMMM")</f>
        <v>Diciembre</v>
      </c>
      <c r="D12" s="2" t="s">
        <v>9</v>
      </c>
      <c r="E12" s="13">
        <v>0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12">
        <v>0</v>
      </c>
    </row>
    <row r="13" spans="1:15" x14ac:dyDescent="0.25">
      <c r="A13" s="1">
        <v>46023</v>
      </c>
      <c r="B13" s="17" t="str">
        <f t="shared" si="3"/>
        <v>2026</v>
      </c>
      <c r="C13" s="17" t="str">
        <f t="shared" si="4"/>
        <v>Enero</v>
      </c>
      <c r="D13" s="2" t="s">
        <v>6</v>
      </c>
      <c r="E13" s="13">
        <v>660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12">
        <v>660</v>
      </c>
    </row>
    <row r="14" spans="1:15" x14ac:dyDescent="0.25">
      <c r="A14" s="1">
        <v>46023</v>
      </c>
      <c r="B14" s="17" t="str">
        <f t="shared" si="3"/>
        <v>2026</v>
      </c>
      <c r="C14" s="17" t="str">
        <f t="shared" ref="C14:C15" si="5">TEXT(A14,"MMMM")</f>
        <v>Enero</v>
      </c>
      <c r="D14" s="2" t="s">
        <v>7</v>
      </c>
      <c r="E14" s="13">
        <v>1600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12">
        <v>1600</v>
      </c>
    </row>
    <row r="15" spans="1:15" x14ac:dyDescent="0.25">
      <c r="A15" s="1">
        <v>46023</v>
      </c>
      <c r="B15" s="17" t="str">
        <f t="shared" si="3"/>
        <v>2026</v>
      </c>
      <c r="C15" s="17" t="str">
        <f t="shared" si="5"/>
        <v>Enero</v>
      </c>
      <c r="D15" s="2" t="s">
        <v>9</v>
      </c>
      <c r="E15" s="13">
        <v>0</v>
      </c>
      <c r="F15" s="2" t="s">
        <v>22</v>
      </c>
      <c r="G15" s="2" t="s">
        <v>22</v>
      </c>
      <c r="H15" s="2" t="s">
        <v>22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22</v>
      </c>
      <c r="O15" s="12">
        <v>0</v>
      </c>
    </row>
  </sheetData>
  <mergeCells count="1">
    <mergeCell ref="A1:O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 AGUA TRATADA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Muelle</dc:creator>
  <cp:lastModifiedBy>Analista Muelle</cp:lastModifiedBy>
  <dcterms:created xsi:type="dcterms:W3CDTF">2026-06-30T16:52:42Z</dcterms:created>
  <dcterms:modified xsi:type="dcterms:W3CDTF">2026-06-30T19:40:55Z</dcterms:modified>
</cp:coreProperties>
</file>