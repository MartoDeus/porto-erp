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273FFE-22A3-41C6-B64E-4F99B56648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IARI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2" l="1"/>
  <c r="O29" i="2"/>
  <c r="O28" i="2"/>
  <c r="J21" i="2"/>
  <c r="D19" i="2"/>
  <c r="D20" i="2" s="1"/>
  <c r="D18" i="2"/>
  <c r="N12" i="2"/>
  <c r="N11" i="2"/>
</calcChain>
</file>

<file path=xl/sharedStrings.xml><?xml version="1.0" encoding="utf-8"?>
<sst xmlns="http://schemas.openxmlformats.org/spreadsheetml/2006/main" count="55" uniqueCount="38">
  <si>
    <t>REPORTE DIARIO DE AGUA TRATADA - FLOTA MARÍTIMA</t>
  </si>
  <si>
    <t>📅 lunes, 23 de junio de 2026</t>
  </si>
  <si>
    <t>NAVE</t>
  </si>
  <si>
    <t>PARIÑAS (AT)</t>
  </si>
  <si>
    <t>TALARA (AT)</t>
  </si>
  <si>
    <t>NAVE DESTINO</t>
  </si>
  <si>
    <t>PLATAFORMA</t>
  </si>
  <si>
    <t>ORIGEN</t>
  </si>
  <si>
    <t>DESTINO</t>
  </si>
  <si>
    <t>PN8</t>
  </si>
  <si>
    <t>PN9</t>
  </si>
  <si>
    <t>TOTAL RECARGAS</t>
  </si>
  <si>
    <t>LL</t>
  </si>
  <si>
    <t>TOTAL DESPACHOS</t>
  </si>
  <si>
    <t>FECHA</t>
  </si>
  <si>
    <t>TIPO MOVIMIENTO</t>
  </si>
  <si>
    <t>ZONA</t>
  </si>
  <si>
    <t>PEÑA NEGRA</t>
  </si>
  <si>
    <r>
      <t xml:space="preserve">💧  </t>
    </r>
    <r>
      <rPr>
        <b/>
        <sz val="11"/>
        <color rgb="FF002060"/>
        <rFont val="Carlito"/>
      </rPr>
      <t>BALANCE DIARIO POR NAVE</t>
    </r>
  </si>
  <si>
    <t>STOCK INICIAL
(GAL)</t>
  </si>
  <si>
    <t>RECARGA
(GAL)</t>
  </si>
  <si>
    <t>DESPACHO
(GAL)</t>
  </si>
  <si>
    <r>
      <rPr>
        <sz val="11"/>
        <color rgb="FF006B63"/>
        <rFont val="Carlito"/>
      </rPr>
      <t xml:space="preserve">⛴ </t>
    </r>
    <r>
      <rPr>
        <b/>
        <sz val="11"/>
        <color rgb="FF002060"/>
        <rFont val="Carlito"/>
      </rPr>
      <t>RECARGAS DESDE PLAYA TORTUGA</t>
    </r>
  </si>
  <si>
    <t>TRANSFERENCIA
ENTRADA (GAL)</t>
  </si>
  <si>
    <t>TRANSFERENCIA
SALIDA (GAL)</t>
  </si>
  <si>
    <t>CANTIDAD
(GAL)</t>
  </si>
  <si>
    <r>
      <t xml:space="preserve">🚚  </t>
    </r>
    <r>
      <rPr>
        <b/>
        <sz val="11"/>
        <color rgb="FF002060"/>
        <rFont val="Carlito"/>
      </rPr>
      <t>DESPACHOS POR PLATAFORMA</t>
    </r>
  </si>
  <si>
    <r>
      <rPr>
        <b/>
        <sz val="18"/>
        <color rgb="FF006B63"/>
        <rFont val="Carlito"/>
      </rPr>
      <t>↔</t>
    </r>
    <r>
      <rPr>
        <b/>
        <sz val="11"/>
        <color rgb="FF006B63"/>
        <rFont val="Carlito"/>
      </rPr>
      <t xml:space="preserve">  </t>
    </r>
    <r>
      <rPr>
        <b/>
        <sz val="11"/>
        <color rgb="FF002060"/>
        <rFont val="Carlito"/>
      </rPr>
      <t>TRANSFERENCIAS ENTRE NAVES</t>
    </r>
  </si>
  <si>
    <t>CANTIDAD</t>
  </si>
  <si>
    <t>TOTAL TRANSFERENCIA</t>
  </si>
  <si>
    <r>
      <rPr>
        <sz val="11"/>
        <color rgb="FF006B63"/>
        <rFont val="Carlito"/>
      </rPr>
      <t xml:space="preserve">☷ </t>
    </r>
    <r>
      <rPr>
        <b/>
        <sz val="11"/>
        <color rgb="FF002060"/>
        <rFont val="Carlito"/>
      </rPr>
      <t>RECARGAS DESDE PLAYA TORTUGA</t>
    </r>
  </si>
  <si>
    <t>HORA INICIO</t>
  </si>
  <si>
    <t>HORA FIN</t>
  </si>
  <si>
    <t>DETALLE PLATAFORMA</t>
  </si>
  <si>
    <t>N° VALE</t>
  </si>
  <si>
    <t>TIEMPO DE RECARGA</t>
  </si>
  <si>
    <t xml:space="preserve">TALARA </t>
  </si>
  <si>
    <t>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</si>
</sst>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rgb="FF082452"/>
      <name val="Aptos"/>
      <family val="2"/>
    </font>
    <font>
      <b/>
      <sz val="11"/>
      <color rgb="FF059669"/>
      <name val="Aptos"/>
      <family val="2"/>
    </font>
    <font>
      <b/>
      <sz val="10"/>
      <color rgb="FFFFFFFF"/>
      <name val="Aptos"/>
      <family val="2"/>
    </font>
    <font>
      <b/>
      <sz val="20"/>
      <color rgb="FF002060"/>
      <name val="Carlito"/>
    </font>
    <font>
      <b/>
      <sz val="16"/>
      <color rgb="FF006B63"/>
      <name val="Carlito"/>
    </font>
    <font>
      <sz val="11"/>
      <color rgb="FF006B63"/>
      <name val="Carlito"/>
    </font>
    <font>
      <b/>
      <sz val="11"/>
      <color rgb="FF006B63"/>
      <name val="Carlito"/>
    </font>
    <font>
      <b/>
      <sz val="11"/>
      <name val="Carlito"/>
    </font>
    <font>
      <b/>
      <sz val="11"/>
      <color rgb="FF002060"/>
      <name val="Carlito"/>
    </font>
    <font>
      <sz val="11"/>
      <color rgb="FF002060"/>
      <name val="Carlito"/>
    </font>
    <font>
      <b/>
      <sz val="11"/>
      <color theme="0"/>
      <name val="Carlito"/>
    </font>
    <font>
      <sz val="11"/>
      <color theme="0"/>
      <name val="Carlito"/>
    </font>
    <font>
      <b/>
      <sz val="18"/>
      <color rgb="FF006B6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534D"/>
      </patternFill>
    </fill>
    <fill>
      <patternFill patternType="solid">
        <fgColor rgb="FF006B63"/>
        <bgColor indexed="64"/>
      </patternFill>
    </fill>
  </fills>
  <borders count="31">
    <border>
      <left/>
      <right/>
      <top/>
      <bottom/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/>
      <top/>
      <bottom style="medium">
        <color rgb="FF006B63"/>
      </bottom>
      <diagonal/>
    </border>
    <border>
      <left/>
      <right/>
      <top style="medium">
        <color rgb="FF006B63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rgb="FFD9E2EC"/>
      </bottom>
      <diagonal/>
    </border>
    <border>
      <left/>
      <right style="thin">
        <color rgb="FFD9E2EC"/>
      </right>
      <top style="thin">
        <color theme="0" tint="-0.14999847407452621"/>
      </top>
      <bottom style="thin">
        <color rgb="FFD9E2EC"/>
      </bottom>
      <diagonal/>
    </border>
    <border>
      <left style="thin">
        <color rgb="FFD9E2EC"/>
      </left>
      <right/>
      <top style="thin">
        <color theme="0" tint="-0.14999847407452621"/>
      </top>
      <bottom style="thin">
        <color rgb="FFD9E2EC"/>
      </bottom>
      <diagonal/>
    </border>
    <border>
      <left style="thin">
        <color rgb="FFD9E2EC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rgb="FFD9E2EC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theme="0" tint="-0.14999847407452621"/>
      </right>
      <top style="thin">
        <color rgb="FFD9E2EC"/>
      </top>
      <bottom style="thin">
        <color rgb="FFD9E2EC"/>
      </bottom>
      <diagonal/>
    </border>
    <border>
      <left style="thin">
        <color theme="0" tint="-0.14999847407452621"/>
      </left>
      <right/>
      <top style="thin">
        <color rgb="FFD9E2EC"/>
      </top>
      <bottom style="thin">
        <color theme="0" tint="-0.14999847407452621"/>
      </bottom>
      <diagonal/>
    </border>
    <border>
      <left/>
      <right/>
      <top style="thin">
        <color rgb="FFD9E2EC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rgb="FFD9E2EC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rgb="FFD9E2EC"/>
      </left>
      <right style="thin">
        <color theme="0" tint="-0.14999847407452621"/>
      </right>
      <top/>
      <bottom/>
      <diagonal/>
    </border>
    <border>
      <left style="thin">
        <color rgb="FFD9E2EC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rgb="FFD9E2EC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Border="1"/>
    <xf numFmtId="0" fontId="0" fillId="0" borderId="7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8" xfId="0" applyBorder="1"/>
    <xf numFmtId="0" fontId="0" fillId="0" borderId="7" xfId="0" applyFill="1" applyBorder="1"/>
    <xf numFmtId="3" fontId="1" fillId="2" borderId="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3" fontId="11" fillId="4" borderId="6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3" fontId="11" fillId="4" borderId="0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3" fontId="1" fillId="2" borderId="22" xfId="0" applyNumberFormat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3" fontId="1" fillId="2" borderId="24" xfId="0" applyNumberFormat="1" applyFont="1" applyFill="1" applyBorder="1" applyAlignment="1">
      <alignment horizontal="center" vertical="center"/>
    </xf>
    <xf numFmtId="3" fontId="1" fillId="2" borderId="25" xfId="0" applyNumberFormat="1" applyFont="1" applyFill="1" applyBorder="1" applyAlignment="1">
      <alignment horizontal="center" vertical="center"/>
    </xf>
    <xf numFmtId="3" fontId="11" fillId="4" borderId="26" xfId="0" applyNumberFormat="1" applyFont="1" applyFill="1" applyBorder="1" applyAlignment="1">
      <alignment horizontal="center"/>
    </xf>
    <xf numFmtId="0" fontId="0" fillId="0" borderId="27" xfId="0" applyBorder="1"/>
    <xf numFmtId="0" fontId="3" fillId="3" borderId="1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vertical="center"/>
    </xf>
    <xf numFmtId="0" fontId="11" fillId="4" borderId="29" xfId="0" applyFont="1" applyFill="1" applyBorder="1" applyAlignment="1"/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4" fontId="10" fillId="0" borderId="13" xfId="0" applyNumberFormat="1" applyFont="1" applyBorder="1"/>
    <xf numFmtId="0" fontId="0" fillId="0" borderId="30" xfId="0" applyBorder="1" applyAlignment="1">
      <alignment horizontal="center"/>
    </xf>
    <xf numFmtId="0" fontId="0" fillId="0" borderId="12" xfId="0" applyBorder="1" applyAlignment="1">
      <alignment horizontal="center"/>
    </xf>
    <xf numFmtId="20" fontId="10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12" xfId="0" applyFont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color rgb="FFFF2121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006B63"/>
      <color rgb="FFFF2121"/>
      <color rgb="FFFF858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562367</xdr:colOff>
      <xdr:row>0</xdr:row>
      <xdr:rowOff>0</xdr:rowOff>
    </xdr:from>
    <xdr:to>
      <xdr:col>2</xdr:col>
      <xdr:colOff>164587</xdr:colOff>
      <xdr:row>5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448ACC-E27C-A66B-1A95-5E6F3666D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367" y="0"/>
          <a:ext cx="1050020" cy="105727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0</xdr:row>
      <xdr:rowOff>0</xdr:rowOff>
    </xdr:from>
    <xdr:to>
      <xdr:col>14</xdr:col>
      <xdr:colOff>1181100</xdr:colOff>
      <xdr:row>5</xdr:row>
      <xdr:rowOff>163930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2FC9BCE-5558-4F71-80E0-BA91447C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3625" y="0"/>
          <a:ext cx="1981200" cy="1068805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31</xdr:row>
      <xdr:rowOff>92869</xdr:rowOff>
    </xdr:from>
    <xdr:to>
      <xdr:col>5</xdr:col>
      <xdr:colOff>473869</xdr:colOff>
      <xdr:row>32</xdr:row>
      <xdr:rowOff>176212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90EAA872-A884-A2DB-5760-1EECB0EF4061}"/>
            </a:ext>
          </a:extLst>
        </xdr:cNvPr>
        <xdr:cNvGrpSpPr/>
      </xdr:nvGrpSpPr>
      <xdr:grpSpPr>
        <a:xfrm>
          <a:off x="3209925" y="6303169"/>
          <a:ext cx="1131094" cy="264318"/>
          <a:chOff x="428625" y="6315075"/>
          <a:chExt cx="1133475" cy="266700"/>
        </a:xfrm>
      </xdr:grpSpPr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F2683654-CF83-88BE-419F-5DB603769057}"/>
              </a:ext>
            </a:extLst>
          </xdr:cNvPr>
          <xdr:cNvSpPr/>
        </xdr:nvSpPr>
        <xdr:spPr>
          <a:xfrm>
            <a:off x="428625" y="6353175"/>
            <a:ext cx="228600" cy="200025"/>
          </a:xfrm>
          <a:prstGeom prst="ellipse">
            <a:avLst/>
          </a:prstGeom>
          <a:solidFill>
            <a:srgbClr val="FF0000"/>
          </a:solidFill>
          <a:ln>
            <a:solidFill>
              <a:srgbClr val="FF212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EC636F40-67C0-751A-DF83-68CF1C72D346}"/>
              </a:ext>
            </a:extLst>
          </xdr:cNvPr>
          <xdr:cNvSpPr txBox="1"/>
        </xdr:nvSpPr>
        <xdr:spPr>
          <a:xfrm>
            <a:off x="647700" y="6315075"/>
            <a:ext cx="91440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200" b="1">
                <a:solidFill>
                  <a:srgbClr val="002060"/>
                </a:solidFill>
              </a:rPr>
              <a:t>DESPACHO</a:t>
            </a:r>
          </a:p>
        </xdr:txBody>
      </xdr:sp>
    </xdr:grpSp>
    <xdr:clientData/>
  </xdr:twoCellAnchor>
  <xdr:twoCellAnchor>
    <xdr:from>
      <xdr:col>1</xdr:col>
      <xdr:colOff>66675</xdr:colOff>
      <xdr:row>31</xdr:row>
      <xdr:rowOff>95250</xdr:rowOff>
    </xdr:from>
    <xdr:to>
      <xdr:col>2</xdr:col>
      <xdr:colOff>314325</xdr:colOff>
      <xdr:row>33</xdr:row>
      <xdr:rowOff>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3558BB52-C613-40BB-B481-4B934030FF7F}"/>
            </a:ext>
          </a:extLst>
        </xdr:cNvPr>
        <xdr:cNvGrpSpPr/>
      </xdr:nvGrpSpPr>
      <xdr:grpSpPr>
        <a:xfrm>
          <a:off x="390525" y="6305550"/>
          <a:ext cx="1133475" cy="266700"/>
          <a:chOff x="428625" y="6315075"/>
          <a:chExt cx="1133475" cy="266700"/>
        </a:xfrm>
      </xdr:grpSpPr>
      <xdr:sp macro="" textlink="">
        <xdr:nvSpPr>
          <xdr:cNvPr id="14" name="Elipse 13">
            <a:extLst>
              <a:ext uri="{FF2B5EF4-FFF2-40B4-BE49-F238E27FC236}">
                <a16:creationId xmlns:a16="http://schemas.microsoft.com/office/drawing/2014/main" id="{71F07911-48F8-5D78-CB62-273AA7064D2D}"/>
              </a:ext>
            </a:extLst>
          </xdr:cNvPr>
          <xdr:cNvSpPr/>
        </xdr:nvSpPr>
        <xdr:spPr>
          <a:xfrm>
            <a:off x="428625" y="6353175"/>
            <a:ext cx="228600" cy="200025"/>
          </a:xfrm>
          <a:prstGeom prst="ellipse">
            <a:avLst/>
          </a:prstGeom>
          <a:solidFill>
            <a:srgbClr val="006B63"/>
          </a:solidFill>
          <a:ln>
            <a:solidFill>
              <a:srgbClr val="006B6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8361B321-48B8-4712-C8F7-3ABFF992F5D8}"/>
              </a:ext>
            </a:extLst>
          </xdr:cNvPr>
          <xdr:cNvSpPr txBox="1"/>
        </xdr:nvSpPr>
        <xdr:spPr>
          <a:xfrm>
            <a:off x="647700" y="6315075"/>
            <a:ext cx="91440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200" b="1">
                <a:solidFill>
                  <a:srgbClr val="002060"/>
                </a:solidFill>
              </a:rPr>
              <a:t>RECARGA</a:t>
            </a:r>
          </a:p>
        </xdr:txBody>
      </xdr:sp>
    </xdr:grpSp>
    <xdr:clientData/>
  </xdr:twoCellAnchor>
  <xdr:twoCellAnchor>
    <xdr:from>
      <xdr:col>2</xdr:col>
      <xdr:colOff>381000</xdr:colOff>
      <xdr:row>31</xdr:row>
      <xdr:rowOff>104775</xdr:rowOff>
    </xdr:from>
    <xdr:to>
      <xdr:col>4</xdr:col>
      <xdr:colOff>66675</xdr:colOff>
      <xdr:row>33</xdr:row>
      <xdr:rowOff>9525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A02023AF-17ED-402C-B370-6D3AFE65728D}"/>
            </a:ext>
          </a:extLst>
        </xdr:cNvPr>
        <xdr:cNvGrpSpPr/>
      </xdr:nvGrpSpPr>
      <xdr:grpSpPr>
        <a:xfrm>
          <a:off x="1590675" y="6315075"/>
          <a:ext cx="1457325" cy="266700"/>
          <a:chOff x="428625" y="6305550"/>
          <a:chExt cx="1063937" cy="266700"/>
        </a:xfrm>
      </xdr:grpSpPr>
      <xdr:sp macro="" textlink="">
        <xdr:nvSpPr>
          <xdr:cNvPr id="17" name="Elipse 16">
            <a:extLst>
              <a:ext uri="{FF2B5EF4-FFF2-40B4-BE49-F238E27FC236}">
                <a16:creationId xmlns:a16="http://schemas.microsoft.com/office/drawing/2014/main" id="{C38D56DC-F20E-D6AD-E50E-648CA5CF18D2}"/>
              </a:ext>
            </a:extLst>
          </xdr:cNvPr>
          <xdr:cNvSpPr/>
        </xdr:nvSpPr>
        <xdr:spPr>
          <a:xfrm>
            <a:off x="428625" y="6332219"/>
            <a:ext cx="166892" cy="211456"/>
          </a:xfrm>
          <a:prstGeom prst="ellipse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7E4EFEE1-11DC-CCFC-DB57-8C167F3985F1}"/>
              </a:ext>
            </a:extLst>
          </xdr:cNvPr>
          <xdr:cNvSpPr txBox="1"/>
        </xdr:nvSpPr>
        <xdr:spPr>
          <a:xfrm>
            <a:off x="578162" y="6305550"/>
            <a:ext cx="91440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200" b="1">
                <a:solidFill>
                  <a:srgbClr val="002060"/>
                </a:solidFill>
              </a:rPr>
              <a:t>TRANSFERENCIA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1F24-8A5A-4511-9238-ABA1E84E1E22}">
  <dimension ref="A1:Q30"/>
  <sheetViews>
    <sheetView showGridLines="0" tabSelected="1" zoomScaleNormal="100" workbookViewId="0">
      <selection activeCell="C23" sqref="C23"/>
    </sheetView>
  </sheetViews>
  <sheetFormatPr baseColWidth="10" defaultRowHeight="14.25"/>
  <cols>
    <col min="1" max="1" width="4.25" customWidth="1"/>
    <col min="2" max="5" width="11.625" customWidth="1"/>
    <col min="6" max="6" width="8.625" customWidth="1"/>
    <col min="7" max="7" width="10" customWidth="1"/>
    <col min="8" max="8" width="8.125" customWidth="1"/>
    <col min="9" max="9" width="9.875" customWidth="1"/>
    <col min="10" max="10" width="10" customWidth="1"/>
    <col min="11" max="11" width="9.625" customWidth="1"/>
    <col min="12" max="12" width="8.625" customWidth="1"/>
    <col min="13" max="14" width="13.625" customWidth="1"/>
    <col min="15" max="15" width="17.375" customWidth="1"/>
  </cols>
  <sheetData>
    <row r="1" spans="1:17" ht="14.2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7" ht="14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7" ht="14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7" ht="14.25" customHeight="1">
      <c r="A4" s="5"/>
      <c r="B4" s="5"/>
      <c r="C4" s="5"/>
      <c r="D4" s="9" t="s">
        <v>1</v>
      </c>
      <c r="E4" s="9"/>
      <c r="F4" s="9"/>
      <c r="G4" s="9"/>
      <c r="H4" s="9"/>
      <c r="I4" s="9"/>
      <c r="J4" s="9"/>
      <c r="K4" s="9"/>
      <c r="L4" s="9"/>
      <c r="M4" s="5"/>
    </row>
    <row r="5" spans="1:17" ht="14.25" customHeight="1">
      <c r="A5" s="5"/>
      <c r="B5" s="5"/>
      <c r="C5" s="5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7" ht="15" thickBo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4"/>
      <c r="N6" s="14"/>
      <c r="O6" s="14"/>
      <c r="P6" s="6"/>
    </row>
    <row r="7" spans="1:1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5"/>
      <c r="N7" s="5"/>
    </row>
    <row r="8" spans="1:17" ht="15">
      <c r="B8" s="11" t="s">
        <v>18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10" spans="1:17" ht="30" customHeight="1">
      <c r="B10" s="31" t="s">
        <v>2</v>
      </c>
      <c r="C10" s="32"/>
      <c r="D10" s="33" t="s">
        <v>19</v>
      </c>
      <c r="E10" s="32"/>
      <c r="F10" s="34" t="s">
        <v>20</v>
      </c>
      <c r="G10" s="35"/>
      <c r="H10" s="33" t="s">
        <v>23</v>
      </c>
      <c r="I10" s="32"/>
      <c r="J10" s="34" t="s">
        <v>21</v>
      </c>
      <c r="K10" s="36"/>
      <c r="L10" s="34" t="s">
        <v>24</v>
      </c>
      <c r="M10" s="35"/>
      <c r="N10" s="34" t="s">
        <v>24</v>
      </c>
      <c r="O10" s="37"/>
    </row>
    <row r="11" spans="1:17" ht="15">
      <c r="B11" s="38" t="s">
        <v>3</v>
      </c>
      <c r="C11" s="4"/>
      <c r="D11" s="15">
        <v>0</v>
      </c>
      <c r="E11" s="15"/>
      <c r="F11" s="15">
        <v>0</v>
      </c>
      <c r="G11" s="15"/>
      <c r="H11" s="15">
        <v>0</v>
      </c>
      <c r="I11" s="15"/>
      <c r="J11" s="15">
        <v>0</v>
      </c>
      <c r="K11" s="15"/>
      <c r="L11" s="15">
        <v>0</v>
      </c>
      <c r="M11" s="15"/>
      <c r="N11" s="15">
        <f>+D11+F11+H11-J11-L11</f>
        <v>0</v>
      </c>
      <c r="O11" s="39"/>
      <c r="Q11" s="5"/>
    </row>
    <row r="12" spans="1:17" ht="15">
      <c r="B12" s="40" t="s">
        <v>4</v>
      </c>
      <c r="C12" s="41"/>
      <c r="D12" s="42">
        <v>2000</v>
      </c>
      <c r="E12" s="42"/>
      <c r="F12" s="42">
        <v>0</v>
      </c>
      <c r="G12" s="42"/>
      <c r="H12" s="42">
        <v>0</v>
      </c>
      <c r="I12" s="42"/>
      <c r="J12" s="42">
        <v>800</v>
      </c>
      <c r="K12" s="42"/>
      <c r="L12" s="42">
        <v>0</v>
      </c>
      <c r="M12" s="42"/>
      <c r="N12" s="42">
        <f>+D12+F12+H12-J12-L12</f>
        <v>1200</v>
      </c>
      <c r="O12" s="43"/>
      <c r="Q12" s="5"/>
    </row>
    <row r="15" spans="1:17" ht="23.25">
      <c r="B15" s="10" t="s">
        <v>22</v>
      </c>
      <c r="C15" s="10"/>
      <c r="D15" s="10"/>
      <c r="E15" s="10"/>
      <c r="G15" s="16" t="s">
        <v>26</v>
      </c>
      <c r="H15" s="7"/>
      <c r="I15" s="7"/>
      <c r="J15" s="7"/>
      <c r="L15" s="17"/>
      <c r="M15" s="11" t="s">
        <v>27</v>
      </c>
      <c r="N15" s="10"/>
      <c r="O15" s="10"/>
      <c r="P15" s="10"/>
    </row>
    <row r="16" spans="1:17" ht="15">
      <c r="G16" s="30"/>
      <c r="H16" s="30"/>
      <c r="I16" s="30"/>
      <c r="J16" s="30"/>
      <c r="K16" s="30"/>
      <c r="L16" s="17"/>
      <c r="M16" s="30"/>
      <c r="N16" s="30"/>
      <c r="O16" s="30"/>
    </row>
    <row r="17" spans="2:15" ht="27" customHeight="1">
      <c r="B17" s="1" t="s">
        <v>5</v>
      </c>
      <c r="C17" s="2"/>
      <c r="D17" s="1" t="s">
        <v>25</v>
      </c>
      <c r="E17" s="2"/>
      <c r="F17" s="45"/>
      <c r="G17" s="28" t="s">
        <v>6</v>
      </c>
      <c r="H17" s="28"/>
      <c r="I17" s="29"/>
      <c r="J17" s="34" t="s">
        <v>25</v>
      </c>
      <c r="K17" s="37"/>
      <c r="L17" s="5"/>
      <c r="M17" s="46" t="s">
        <v>7</v>
      </c>
      <c r="N17" s="46" t="s">
        <v>8</v>
      </c>
      <c r="O17" s="47" t="s">
        <v>28</v>
      </c>
    </row>
    <row r="18" spans="2:15" ht="15">
      <c r="B18" s="3" t="s">
        <v>3</v>
      </c>
      <c r="C18" s="4"/>
      <c r="D18" s="15">
        <f>+F11</f>
        <v>0</v>
      </c>
      <c r="E18" s="15"/>
      <c r="G18" s="3" t="s">
        <v>9</v>
      </c>
      <c r="H18" s="4"/>
      <c r="I18" s="4"/>
      <c r="J18" s="26">
        <v>450</v>
      </c>
      <c r="K18" s="27"/>
      <c r="L18" s="5"/>
      <c r="M18" s="21" t="s">
        <v>3</v>
      </c>
      <c r="N18" s="22"/>
      <c r="O18" s="48"/>
    </row>
    <row r="19" spans="2:15" ht="15">
      <c r="B19" s="3" t="s">
        <v>4</v>
      </c>
      <c r="C19" s="4"/>
      <c r="D19" s="15">
        <f>+F12</f>
        <v>0</v>
      </c>
      <c r="E19" s="15"/>
      <c r="G19" s="3" t="s">
        <v>10</v>
      </c>
      <c r="H19" s="4"/>
      <c r="I19" s="4"/>
      <c r="J19" s="24">
        <v>200</v>
      </c>
      <c r="K19" s="25"/>
      <c r="L19" s="5"/>
      <c r="M19" s="21" t="s">
        <v>4</v>
      </c>
      <c r="N19" s="22"/>
      <c r="O19" s="48"/>
    </row>
    <row r="20" spans="2:15" ht="15">
      <c r="B20" s="18" t="s">
        <v>11</v>
      </c>
      <c r="C20" s="19"/>
      <c r="D20" s="20">
        <f>SUM(D18:E19)</f>
        <v>0</v>
      </c>
      <c r="E20" s="18"/>
      <c r="G20" s="3" t="s">
        <v>12</v>
      </c>
      <c r="H20" s="4"/>
      <c r="I20" s="4"/>
      <c r="J20" s="24">
        <v>150</v>
      </c>
      <c r="K20" s="25"/>
      <c r="L20" s="5"/>
      <c r="M20" s="18" t="s">
        <v>29</v>
      </c>
      <c r="N20" s="18"/>
      <c r="O20" s="49"/>
    </row>
    <row r="21" spans="2:15" ht="15">
      <c r="G21" s="18" t="s">
        <v>13</v>
      </c>
      <c r="H21" s="18"/>
      <c r="I21" s="18"/>
      <c r="J21" s="23">
        <f>SUM(J18:K19)</f>
        <v>650</v>
      </c>
      <c r="K21" s="44"/>
    </row>
    <row r="25" spans="2:15" ht="15">
      <c r="B25" s="10" t="s">
        <v>30</v>
      </c>
      <c r="C25" s="10"/>
      <c r="D25" s="10"/>
      <c r="E25" s="10"/>
    </row>
    <row r="27" spans="2:15">
      <c r="B27" s="50" t="s">
        <v>14</v>
      </c>
      <c r="C27" s="50" t="s">
        <v>31</v>
      </c>
      <c r="D27" s="50" t="s">
        <v>32</v>
      </c>
      <c r="E27" s="50" t="s">
        <v>2</v>
      </c>
      <c r="F27" s="51" t="s">
        <v>33</v>
      </c>
      <c r="G27" s="51"/>
      <c r="H27" s="51" t="s">
        <v>15</v>
      </c>
      <c r="I27" s="51"/>
      <c r="J27" s="51" t="s">
        <v>16</v>
      </c>
      <c r="K27" s="51"/>
      <c r="L27" s="51" t="s">
        <v>28</v>
      </c>
      <c r="M27" s="51"/>
      <c r="N27" s="50" t="s">
        <v>34</v>
      </c>
      <c r="O27" s="50" t="s">
        <v>35</v>
      </c>
    </row>
    <row r="28" spans="2:15" ht="15">
      <c r="B28" s="52">
        <v>46196</v>
      </c>
      <c r="C28" s="55">
        <v>0.43055555555555558</v>
      </c>
      <c r="D28" s="55">
        <v>0.43263888888888891</v>
      </c>
      <c r="E28" s="56" t="s">
        <v>36</v>
      </c>
      <c r="F28" s="57" t="s">
        <v>10</v>
      </c>
      <c r="G28" s="58"/>
      <c r="H28" s="53" t="s">
        <v>37</v>
      </c>
      <c r="I28" s="54"/>
      <c r="J28" s="59" t="s">
        <v>17</v>
      </c>
      <c r="K28" s="60"/>
      <c r="L28" s="57">
        <v>200</v>
      </c>
      <c r="M28" s="58"/>
      <c r="N28" s="56">
        <v>2232</v>
      </c>
      <c r="O28" s="55">
        <f>D28-C28</f>
        <v>2.0833333333333259E-3</v>
      </c>
    </row>
    <row r="29" spans="2:15" ht="15">
      <c r="B29" s="52">
        <v>46196</v>
      </c>
      <c r="C29" s="55">
        <v>0.45416666666666666</v>
      </c>
      <c r="D29" s="55">
        <v>0.45833333333333331</v>
      </c>
      <c r="E29" s="56" t="s">
        <v>36</v>
      </c>
      <c r="F29" s="57" t="s">
        <v>9</v>
      </c>
      <c r="G29" s="58"/>
      <c r="H29" s="53" t="s">
        <v>37</v>
      </c>
      <c r="I29" s="54"/>
      <c r="J29" s="59" t="s">
        <v>17</v>
      </c>
      <c r="K29" s="60"/>
      <c r="L29" s="57">
        <v>450</v>
      </c>
      <c r="M29" s="58"/>
      <c r="N29" s="56">
        <v>2233</v>
      </c>
      <c r="O29" s="55">
        <f t="shared" ref="O29:O30" si="0">D29-C29</f>
        <v>4.1666666666666519E-3</v>
      </c>
    </row>
    <row r="30" spans="2:15" ht="15">
      <c r="B30" s="52">
        <v>46196</v>
      </c>
      <c r="C30" s="55">
        <v>0.47499999999999998</v>
      </c>
      <c r="D30" s="55">
        <v>0.47638888888888886</v>
      </c>
      <c r="E30" s="56" t="s">
        <v>36</v>
      </c>
      <c r="F30" s="57" t="s">
        <v>12</v>
      </c>
      <c r="G30" s="58"/>
      <c r="H30" s="53" t="s">
        <v>37</v>
      </c>
      <c r="I30" s="54"/>
      <c r="J30" s="59" t="s">
        <v>17</v>
      </c>
      <c r="K30" s="60"/>
      <c r="L30" s="57">
        <v>150</v>
      </c>
      <c r="M30" s="58"/>
      <c r="N30" s="56">
        <v>2234</v>
      </c>
      <c r="O30" s="55">
        <f t="shared" si="0"/>
        <v>1.388888888888884E-3</v>
      </c>
    </row>
  </sheetData>
  <mergeCells count="63">
    <mergeCell ref="L29:M29"/>
    <mergeCell ref="L30:M30"/>
    <mergeCell ref="F28:G28"/>
    <mergeCell ref="F30:G30"/>
    <mergeCell ref="F29:G29"/>
    <mergeCell ref="L27:M27"/>
    <mergeCell ref="H28:I28"/>
    <mergeCell ref="H29:I29"/>
    <mergeCell ref="H30:I30"/>
    <mergeCell ref="J28:K28"/>
    <mergeCell ref="J29:K29"/>
    <mergeCell ref="J30:K30"/>
    <mergeCell ref="L28:M28"/>
    <mergeCell ref="M20:N20"/>
    <mergeCell ref="B25:E25"/>
    <mergeCell ref="F27:G27"/>
    <mergeCell ref="H27:I27"/>
    <mergeCell ref="J27:K27"/>
    <mergeCell ref="M15:P15"/>
    <mergeCell ref="J17:K17"/>
    <mergeCell ref="J18:K18"/>
    <mergeCell ref="J19:K19"/>
    <mergeCell ref="J21:K21"/>
    <mergeCell ref="G20:I20"/>
    <mergeCell ref="J20:K20"/>
    <mergeCell ref="G18:I18"/>
    <mergeCell ref="G19:I19"/>
    <mergeCell ref="G21:I21"/>
    <mergeCell ref="B18:C18"/>
    <mergeCell ref="D18:E18"/>
    <mergeCell ref="B19:C19"/>
    <mergeCell ref="D19:E19"/>
    <mergeCell ref="B20:C20"/>
    <mergeCell ref="D20:E20"/>
    <mergeCell ref="A1:O3"/>
    <mergeCell ref="D4:L5"/>
    <mergeCell ref="B15:E15"/>
    <mergeCell ref="B17:C17"/>
    <mergeCell ref="D17:E17"/>
    <mergeCell ref="G15:J15"/>
    <mergeCell ref="G17:I17"/>
    <mergeCell ref="J12:K12"/>
    <mergeCell ref="L12:M12"/>
    <mergeCell ref="L11:M11"/>
    <mergeCell ref="N11:O11"/>
    <mergeCell ref="N12:O12"/>
    <mergeCell ref="B12:C12"/>
    <mergeCell ref="D12:E12"/>
    <mergeCell ref="F11:G11"/>
    <mergeCell ref="F12:G12"/>
    <mergeCell ref="H11:I11"/>
    <mergeCell ref="H12:I12"/>
    <mergeCell ref="L10:M10"/>
    <mergeCell ref="N10:O10"/>
    <mergeCell ref="B11:C11"/>
    <mergeCell ref="D11:E11"/>
    <mergeCell ref="J11:K11"/>
    <mergeCell ref="B8:N8"/>
    <mergeCell ref="B10:C10"/>
    <mergeCell ref="D10:E10"/>
    <mergeCell ref="F10:G10"/>
    <mergeCell ref="H10:I10"/>
    <mergeCell ref="J10:K10"/>
  </mergeCells>
  <conditionalFormatting sqref="H28:I30">
    <cfRule type="cellIs" dxfId="0" priority="1" operator="equal">
      <formula>"DESPACHO"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Analista Muelle</cp:lastModifiedBy>
  <dcterms:created xsi:type="dcterms:W3CDTF">2026-06-26T17:05:47Z</dcterms:created>
  <dcterms:modified xsi:type="dcterms:W3CDTF">2026-06-26T19:11:53Z</dcterms:modified>
</cp:coreProperties>
</file>