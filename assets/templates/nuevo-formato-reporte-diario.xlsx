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REPORTE DIARIO" sheetId="1" state="visible" r:id="rId1"/>
  </sheets>
  <externalReferences>
    <externalReference xmlns:r="http://schemas.openxmlformats.org/officeDocument/2006/relationships"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F800]dddd\,\ mmmm\ dd\,\ yyyy"/>
    <numFmt numFmtId="165" formatCode="dd/mm/yyyy"/>
  </numFmts>
  <fonts count="16">
    <font>
      <name val="Calibri"/>
      <family val="2"/>
      <color theme="1"/>
      <sz val="11"/>
      <scheme val="minor"/>
    </font>
    <font>
      <name val="Calibri"/>
      <family val="2"/>
      <b val="1"/>
      <color rgb="FF002060"/>
      <sz val="12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0"/>
      <sz val="9"/>
      <scheme val="minor"/>
    </font>
    <font>
      <name val="Calibri"/>
      <family val="2"/>
      <b val="1"/>
      <color theme="0" tint="-0.0499893185216834"/>
      <sz val="9"/>
      <scheme val="minor"/>
    </font>
    <font>
      <name val="Calibri"/>
      <family val="2"/>
      <color rgb="FF002060"/>
      <sz val="9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color rgb="FF000000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002060"/>
      <sz val="11"/>
      <scheme val="minor"/>
    </font>
    <font>
      <name val="Calibri"/>
      <family val="2"/>
      <b val="1"/>
      <color indexed="8"/>
      <sz val="11"/>
      <u val="single"/>
      <scheme val="minor"/>
    </font>
    <font>
      <name val="Calibri"/>
      <family val="2"/>
      <b val="1"/>
      <sz val="11"/>
      <scheme val="minor"/>
    </font>
    <font>
      <name val="Calibri"/>
      <family val="2"/>
      <color rgb="FF002060"/>
      <sz val="11"/>
      <scheme val="minor"/>
    </font>
    <font>
      <name val="Calibri"/>
      <family val="2"/>
      <b val="1"/>
      <color theme="0"/>
      <sz val="12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65B0"/>
        <bgColor indexed="64"/>
      </patternFill>
    </fill>
    <fill>
      <patternFill patternType="solid">
        <fgColor rgb="FFB2CB7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8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"/>
        <bgColor indexed="64"/>
      </patternFill>
    </fill>
  </fills>
  <borders count="46">
    <border>
      <left/>
      <right/>
      <top/>
      <bottom/>
      <diagonal/>
    </border>
    <border>
      <left style="thin">
        <color theme="1" tint="0.499984740745262"/>
      </left>
      <right style="thin">
        <color theme="0"/>
      </right>
      <top style="thin">
        <color theme="1" tint="0.49998474074526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 tint="0.499984740745262"/>
      </top>
      <bottom style="thin">
        <color theme="0"/>
      </bottom>
      <diagonal/>
    </border>
    <border>
      <left style="thin">
        <color theme="0"/>
      </left>
      <right style="thin">
        <color theme="1" tint="0.499984740745262"/>
      </right>
      <top style="thin">
        <color theme="1" tint="0.499984740745262"/>
      </top>
      <bottom style="thin">
        <color theme="0"/>
      </bottom>
      <diagonal/>
    </border>
    <border>
      <left style="thin">
        <color theme="1" tint="0.499984740745262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1" tint="0.499984740745262"/>
      </right>
      <top style="thin">
        <color theme="0"/>
      </top>
      <bottom style="thin">
        <color theme="0"/>
      </bottom>
      <diagonal/>
    </border>
    <border>
      <left style="thin">
        <color theme="1" tint="0.499984740745262"/>
      </left>
      <right/>
      <top style="thin">
        <color theme="0"/>
      </top>
      <bottom style="thin">
        <color theme="0" tint="-0.3499862666707358"/>
      </bottom>
      <diagonal/>
    </border>
    <border>
      <left/>
      <right/>
      <top style="thin">
        <color theme="0"/>
      </top>
      <bottom style="thin">
        <color theme="0" tint="-0.3499862666707358"/>
      </bottom>
      <diagonal/>
    </border>
    <border>
      <left/>
      <right style="thin">
        <color theme="1" tint="0.499984740745262"/>
      </right>
      <top style="thin">
        <color theme="0"/>
      </top>
      <bottom style="thin">
        <color theme="0" tint="-0.3499862666707358"/>
      </bottom>
      <diagonal/>
    </border>
    <border>
      <left style="thin">
        <color theme="1" tint="0.499984740745262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1" tint="0.499984740745262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1" tint="0.499984740745262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1" tint="0.499984740745262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1" tint="0.499984740745262"/>
      </left>
      <right style="thin">
        <color theme="0" tint="-0.3499862666707358"/>
      </right>
      <top style="thin">
        <color theme="0" tint="-0.3499862666707358"/>
      </top>
      <bottom style="thin">
        <color theme="1" tint="0.49998474074526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1" tint="0.499984740745262"/>
      </bottom>
      <diagonal/>
    </border>
    <border>
      <left style="thin">
        <color theme="0" tint="-0.3499862666707358"/>
      </left>
      <right style="thin">
        <color theme="1" tint="0.499984740745262"/>
      </right>
      <top style="thin">
        <color theme="0" tint="-0.3499862666707358"/>
      </top>
      <bottom style="thin">
        <color theme="1" tint="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theme="0" tint="-0.3499862666707358"/>
      </top>
      <bottom/>
      <diagonal/>
    </border>
    <border>
      <left/>
      <right style="thin">
        <color theme="1" tint="0.499984740745262"/>
      </right>
      <top style="thin">
        <color theme="0" tint="-0.3499862666707358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0"/>
      </right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 style="thin">
        <color theme="0"/>
      </bottom>
      <diagonal/>
    </border>
    <border>
      <left/>
      <right style="thin">
        <color theme="0"/>
      </right>
      <top style="thin">
        <color theme="1" tint="0.499984740745262"/>
      </top>
      <bottom style="thin">
        <color theme="0"/>
      </bottom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 style="thin">
        <color theme="0"/>
      </right>
      <top/>
      <bottom/>
      <diagonal/>
    </border>
    <border>
      <left style="thin">
        <color theme="1" tint="0.499984740745262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0"/>
      </top>
      <bottom style="thin">
        <color theme="0" tint="-0.3499862666707358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1" tint="0.499984740745262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 tint="-0.499984740745262"/>
      </right>
      <top/>
      <bottom/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</borders>
  <cellStyleXfs count="1">
    <xf numFmtId="0" fontId="0" fillId="0" borderId="0"/>
  </cellStyleXfs>
  <cellXfs count="97">
    <xf numFmtId="0" fontId="0" fillId="0" borderId="0" pivotButton="0" quotePrefix="0" xfId="0"/>
    <xf numFmtId="164" fontId="2" fillId="0" borderId="0" applyAlignment="1" pivotButton="0" quotePrefix="0" xfId="0">
      <alignment vertical="center"/>
    </xf>
    <xf numFmtId="165" fontId="3" fillId="2" borderId="0" applyAlignment="1" pivotButton="0" quotePrefix="0" xfId="0">
      <alignment vertical="center"/>
    </xf>
    <xf numFmtId="164" fontId="2" fillId="2" borderId="0" applyAlignment="1" pivotButton="0" quotePrefix="0" xfId="0">
      <alignment vertical="center"/>
    </xf>
    <xf numFmtId="0" fontId="4" fillId="3" borderId="5" applyAlignment="1" pivotButton="0" quotePrefix="0" xfId="0">
      <alignment horizontal="center" vertical="center" wrapText="1"/>
    </xf>
    <xf numFmtId="0" fontId="5" fillId="3" borderId="5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3" fontId="6" fillId="5" borderId="11" applyAlignment="1" pivotButton="0" quotePrefix="0" xfId="0">
      <alignment horizontal="left" vertical="center" wrapText="1"/>
    </xf>
    <xf numFmtId="3" fontId="6" fillId="0" borderId="12" applyAlignment="1" pivotButton="0" quotePrefix="0" xfId="0">
      <alignment horizontal="left" vertical="center" wrapText="1"/>
    </xf>
    <xf numFmtId="0" fontId="8" fillId="3" borderId="5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/>
    </xf>
    <xf numFmtId="0" fontId="12" fillId="0" borderId="0" applyAlignment="1" pivotButton="0" quotePrefix="0" xfId="0">
      <alignment vertical="center"/>
    </xf>
    <xf numFmtId="0" fontId="13" fillId="0" borderId="0" pivotButton="0" quotePrefix="0" xfId="0"/>
    <xf numFmtId="164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 wrapText="1"/>
    </xf>
    <xf numFmtId="0" fontId="10" fillId="2" borderId="0" pivotButton="0" quotePrefix="0" xfId="0"/>
    <xf numFmtId="0" fontId="14" fillId="5" borderId="10" applyAlignment="1" pivotButton="0" quotePrefix="0" xfId="0">
      <alignment vertical="center" wrapText="1"/>
    </xf>
    <xf numFmtId="3" fontId="14" fillId="5" borderId="11" applyAlignment="1" pivotButton="0" quotePrefix="0" xfId="0">
      <alignment horizontal="center" vertical="center" wrapText="1"/>
    </xf>
    <xf numFmtId="0" fontId="14" fillId="5" borderId="11" applyAlignment="1" pivotButton="0" quotePrefix="0" xfId="0">
      <alignment horizontal="center" vertical="center" wrapText="1"/>
    </xf>
    <xf numFmtId="3" fontId="14" fillId="0" borderId="11" applyAlignment="1" pivotButton="0" quotePrefix="0" xfId="0">
      <alignment horizontal="center" vertical="center" wrapText="1"/>
    </xf>
    <xf numFmtId="0" fontId="10" fillId="0" borderId="0" pivotButton="0" quotePrefix="0" xfId="0"/>
    <xf numFmtId="0" fontId="7" fillId="0" borderId="0" applyAlignment="1" pivotButton="0" quotePrefix="0" xfId="0">
      <alignment horizontal="center"/>
    </xf>
    <xf numFmtId="3" fontId="7" fillId="5" borderId="0" applyAlignment="1" pivotButton="0" quotePrefix="0" xfId="0">
      <alignment horizontal="center" vertical="center"/>
    </xf>
    <xf numFmtId="0" fontId="11" fillId="6" borderId="10" applyAlignment="1" pivotButton="0" quotePrefix="0" xfId="0">
      <alignment vertical="center" wrapText="1"/>
    </xf>
    <xf numFmtId="3" fontId="11" fillId="6" borderId="11" applyAlignment="1" pivotButton="0" quotePrefix="0" xfId="0">
      <alignment horizontal="center" vertical="center" wrapText="1"/>
    </xf>
    <xf numFmtId="3" fontId="11" fillId="6" borderId="11" applyAlignment="1" pivotButton="0" quotePrefix="0" xfId="0">
      <alignment horizontal="left" vertical="center" wrapText="1"/>
    </xf>
    <xf numFmtId="3" fontId="11" fillId="6" borderId="12" applyAlignment="1" pivotButton="0" quotePrefix="0" xfId="0">
      <alignment horizontal="left" vertical="center" wrapText="1"/>
    </xf>
    <xf numFmtId="0" fontId="11" fillId="2" borderId="0" applyAlignment="1" pivotButton="0" quotePrefix="0" xfId="0">
      <alignment vertical="center"/>
    </xf>
    <xf numFmtId="0" fontId="14" fillId="0" borderId="10" applyAlignment="1" pivotButton="0" quotePrefix="0" xfId="0">
      <alignment vertical="center" wrapText="1"/>
    </xf>
    <xf numFmtId="0" fontId="14" fillId="0" borderId="11" applyAlignment="1" pivotButton="0" quotePrefix="0" xfId="0">
      <alignment horizontal="center" vertical="center" wrapText="1"/>
    </xf>
    <xf numFmtId="3" fontId="7" fillId="0" borderId="0" applyAlignment="1" pivotButton="0" quotePrefix="0" xfId="0">
      <alignment horizontal="center" vertical="center"/>
    </xf>
    <xf numFmtId="0" fontId="14" fillId="2" borderId="10" applyAlignment="1" pivotButton="0" quotePrefix="0" xfId="0">
      <alignment vertical="center" wrapText="1"/>
    </xf>
    <xf numFmtId="1" fontId="14" fillId="0" borderId="11" applyAlignment="1" pivotButton="0" quotePrefix="0" xfId="0">
      <alignment horizontal="center" vertical="center" wrapText="1"/>
    </xf>
    <xf numFmtId="0" fontId="13" fillId="2" borderId="0" pivotButton="0" quotePrefix="0" xfId="0"/>
    <xf numFmtId="1" fontId="14" fillId="5" borderId="11" applyAlignment="1" pivotButton="0" quotePrefix="0" xfId="0">
      <alignment horizontal="center" vertical="center" wrapText="1"/>
    </xf>
    <xf numFmtId="0" fontId="11" fillId="6" borderId="12" applyAlignment="1" pivotButton="0" quotePrefix="0" xfId="0">
      <alignment horizontal="left" wrapText="1"/>
    </xf>
    <xf numFmtId="0" fontId="11" fillId="6" borderId="16" applyAlignment="1" pivotButton="0" quotePrefix="0" xfId="0">
      <alignment vertical="center" wrapText="1"/>
    </xf>
    <xf numFmtId="3" fontId="11" fillId="6" borderId="17" applyAlignment="1" pivotButton="0" quotePrefix="0" xfId="0">
      <alignment horizontal="center" vertical="center" wrapText="1"/>
    </xf>
    <xf numFmtId="3" fontId="11" fillId="6" borderId="18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/>
    </xf>
    <xf numFmtId="0" fontId="7" fillId="2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8" borderId="10" applyAlignment="1" pivotButton="0" quotePrefix="0" xfId="0">
      <alignment vertical="center" wrapText="1"/>
    </xf>
    <xf numFmtId="3" fontId="14" fillId="8" borderId="11" applyAlignment="1" pivotButton="0" quotePrefix="0" xfId="0">
      <alignment horizontal="center" vertical="center" wrapText="1"/>
    </xf>
    <xf numFmtId="0" fontId="14" fillId="8" borderId="11" applyAlignment="1" pivotButton="0" quotePrefix="0" xfId="0">
      <alignment vertical="center" wrapText="1"/>
    </xf>
    <xf numFmtId="1" fontId="14" fillId="8" borderId="11" applyAlignment="1" pivotButton="0" quotePrefix="0" xfId="0">
      <alignment horizontal="center" vertical="center" wrapText="1"/>
    </xf>
    <xf numFmtId="0" fontId="14" fillId="8" borderId="11" applyAlignment="1" pivotButton="0" quotePrefix="0" xfId="0">
      <alignment horizontal="center" vertical="center" wrapText="1"/>
    </xf>
    <xf numFmtId="3" fontId="6" fillId="8" borderId="11" applyAlignment="1" pivotButton="0" quotePrefix="0" xfId="0">
      <alignment horizontal="left" vertical="center" wrapText="1"/>
    </xf>
    <xf numFmtId="3" fontId="14" fillId="5" borderId="19" applyAlignment="1" pivotButton="0" quotePrefix="0" xfId="0">
      <alignment horizontal="center" vertical="center" wrapText="1"/>
    </xf>
    <xf numFmtId="3" fontId="6" fillId="5" borderId="11" applyAlignment="1" pivotButton="0" quotePrefix="0" xfId="0">
      <alignment vertical="center" wrapText="1"/>
    </xf>
    <xf numFmtId="3" fontId="6" fillId="5" borderId="12" applyAlignment="1" pivotButton="0" quotePrefix="0" xfId="0">
      <alignment vertical="center" wrapText="1"/>
    </xf>
    <xf numFmtId="3" fontId="6" fillId="8" borderId="11" applyAlignment="1" pivotButton="0" quotePrefix="0" xfId="0">
      <alignment vertical="center" wrapText="1"/>
    </xf>
    <xf numFmtId="3" fontId="6" fillId="8" borderId="12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3" fontId="11" fillId="0" borderId="0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center"/>
    </xf>
    <xf numFmtId="0" fontId="14" fillId="5" borderId="19" applyAlignment="1" pivotButton="0" quotePrefix="0" xfId="0">
      <alignment horizontal="center" vertical="center" wrapText="1"/>
    </xf>
    <xf numFmtId="3" fontId="14" fillId="5" borderId="19" applyAlignment="1" pivotButton="0" quotePrefix="0" xfId="0">
      <alignment horizontal="center" vertical="center" wrapText="1"/>
    </xf>
    <xf numFmtId="3" fontId="15" fillId="3" borderId="5" applyAlignment="1" pivotButton="0" quotePrefix="0" xfId="0">
      <alignment horizontal="center" vertical="center"/>
    </xf>
    <xf numFmtId="0" fontId="11" fillId="4" borderId="13" applyAlignment="1" pivotButton="0" quotePrefix="0" xfId="0">
      <alignment horizontal="left" vertical="center" wrapText="1"/>
    </xf>
    <xf numFmtId="0" fontId="11" fillId="4" borderId="14" applyAlignment="1" pivotButton="0" quotePrefix="0" xfId="0">
      <alignment horizontal="left" vertical="center" wrapText="1"/>
    </xf>
    <xf numFmtId="0" fontId="11" fillId="4" borderId="15" applyAlignment="1" pivotButton="0" quotePrefix="0" xfId="0">
      <alignment horizontal="left" vertical="center" wrapText="1"/>
    </xf>
    <xf numFmtId="0" fontId="11" fillId="4" borderId="7" applyAlignment="1" pivotButton="0" quotePrefix="0" xfId="0">
      <alignment horizontal="left" vertical="center" wrapText="1"/>
    </xf>
    <xf numFmtId="0" fontId="11" fillId="4" borderId="8" applyAlignment="1" pivotButton="0" quotePrefix="0" xfId="0">
      <alignment horizontal="left" vertical="center" wrapText="1"/>
    </xf>
    <xf numFmtId="0" fontId="11" fillId="4" borderId="9" applyAlignment="1" pivotButton="0" quotePrefix="0" xfId="0">
      <alignment horizontal="left" vertical="center" wrapText="1"/>
    </xf>
    <xf numFmtId="3" fontId="7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6" pivotButton="0" quotePrefix="0" xfId="0"/>
    <xf numFmtId="0" fontId="0" fillId="0" borderId="29" pivotButton="0" quotePrefix="0" xfId="0"/>
    <xf numFmtId="0" fontId="0" fillId="0" borderId="32" pivotButton="0" quotePrefix="0" xfId="0"/>
    <xf numFmtId="0" fontId="11" fillId="4" borderId="33" applyAlignment="1" pivotButton="0" quotePrefix="0" xfId="0">
      <alignment horizontal="left" vertical="center" wrapText="1"/>
    </xf>
    <xf numFmtId="0" fontId="0" fillId="0" borderId="8" pivotButton="0" quotePrefix="0" xfId="0"/>
    <xf numFmtId="0" fontId="0" fillId="0" borderId="9" pivotButton="0" quotePrefix="0" xfId="0"/>
    <xf numFmtId="0" fontId="11" fillId="4" borderId="20" applyAlignment="1" pivotButton="0" quotePrefix="0" xfId="0">
      <alignment horizontal="left" vertical="center" wrapText="1"/>
    </xf>
    <xf numFmtId="0" fontId="0" fillId="0" borderId="14" pivotButton="0" quotePrefix="0" xfId="0"/>
    <xf numFmtId="0" fontId="0" fillId="0" borderId="15" pivotButton="0" quotePrefix="0" xfId="0"/>
    <xf numFmtId="0" fontId="0" fillId="0" borderId="41" pivotButton="0" quotePrefix="0" xfId="0"/>
    <xf numFmtId="0" fontId="0" fillId="0" borderId="42" pivotButton="0" quotePrefix="0" xfId="0"/>
    <xf numFmtId="0" fontId="0" fillId="0" borderId="34" pivotButton="0" quotePrefix="0" xfId="0"/>
    <xf numFmtId="0" fontId="0" fillId="0" borderId="36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4" pivotButton="0" quotePrefix="0" xfId="0"/>
    <xf numFmtId="0" fontId="0" fillId="0" borderId="45" pivotButton="0" quotePrefix="0" xfId="0"/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SUMEN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SUMEN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B1:V49"/>
  <sheetViews>
    <sheetView showGridLines="0" tabSelected="1" zoomScaleNormal="100" workbookViewId="0">
      <pane ySplit="5" topLeftCell="A6" activePane="bottomLeft" state="frozen"/>
      <selection pane="bottomLeft" activeCell="B6" sqref="B6:M6"/>
    </sheetView>
  </sheetViews>
  <sheetFormatPr baseColWidth="10" defaultColWidth="11.44140625" defaultRowHeight="12.75" customHeight="1"/>
  <cols>
    <col width="1.109375" customWidth="1" style="13" min="1" max="1"/>
    <col width="27.77734375" customWidth="1" style="13" min="2" max="2"/>
    <col width="9.77734375" customWidth="1" style="13" min="3" max="4"/>
    <col width="13.88671875" customWidth="1" style="13" min="5" max="5"/>
    <col width="9.77734375" customWidth="1" style="13" min="6" max="8"/>
    <col width="10.77734375" customWidth="1" style="13" min="9" max="9"/>
    <col width="9.77734375" customWidth="1" style="13" min="10" max="11"/>
    <col width="33.77734375" customWidth="1" style="35" min="12" max="13"/>
    <col width="1.109375" customWidth="1" style="35" min="14" max="14"/>
    <col width="23" customWidth="1" style="13" min="15" max="15"/>
    <col width="24.44140625" customWidth="1" style="13" min="16" max="16"/>
    <col width="11" customWidth="1" style="13" min="17" max="17"/>
    <col width="10.33203125" customWidth="1" style="13" min="18" max="18"/>
    <col width="11.88671875" customWidth="1" style="13" min="19" max="19"/>
    <col width="10.5546875" customWidth="1" style="13" min="20" max="20"/>
    <col width="11.44140625" customWidth="1" style="13" min="21" max="21"/>
    <col width="11.44140625" customWidth="1" style="13" min="22" max="16384"/>
  </cols>
  <sheetData>
    <row r="1" ht="22.5" customHeight="1">
      <c r="B1" s="68" t="inlineStr">
        <is>
          <t>REPORTE DIARIO DE CONSUMO DE DIESEL - FLOTA MARITIMA</t>
        </is>
      </c>
      <c r="N1" s="12" t="n"/>
      <c r="P1" s="12" t="n"/>
      <c r="Q1" s="12" t="n"/>
      <c r="R1" s="12" t="n"/>
      <c r="S1" s="12" t="n"/>
      <c r="T1" s="12" t="n"/>
    </row>
    <row r="2" ht="15.75" customHeight="1">
      <c r="B2" s="69" t="inlineStr">
        <is>
          <t>MARTES 02 DE JUNIO DE 2026</t>
        </is>
      </c>
      <c r="N2" s="1" t="n"/>
      <c r="P2" s="1" t="n"/>
      <c r="Q2" s="1" t="n"/>
      <c r="R2" s="1" t="n"/>
      <c r="S2" s="14" t="n"/>
    </row>
    <row r="3" ht="11.25" customHeight="1">
      <c r="B3" s="15" t="n"/>
      <c r="C3" s="15" t="n"/>
      <c r="D3" s="1" t="n"/>
      <c r="E3" s="1" t="n"/>
      <c r="F3" s="1" t="n"/>
      <c r="G3" s="1" t="n"/>
      <c r="H3" s="1" t="n"/>
      <c r="I3" s="1" t="n"/>
      <c r="J3" s="1" t="n"/>
      <c r="K3" s="1" t="n"/>
      <c r="L3" s="2" t="n">
        <v>46175.70833333334</v>
      </c>
      <c r="M3" s="3" t="n"/>
      <c r="N3" s="3" t="n"/>
      <c r="P3" s="1" t="n"/>
      <c r="Q3" s="1" t="n"/>
      <c r="R3" s="1" t="n"/>
      <c r="S3" s="1" t="n"/>
      <c r="T3" s="1" t="n"/>
    </row>
    <row r="4" ht="24.9" customHeight="1">
      <c r="B4" s="73" t="inlineStr">
        <is>
          <t>NAVE/BARCAZA</t>
        </is>
      </c>
      <c r="C4" s="71" t="inlineStr">
        <is>
          <t>STOCK
INICIAL</t>
        </is>
      </c>
      <c r="D4" s="71" t="inlineStr">
        <is>
          <t>CANTIDAD
RECIBIDA</t>
        </is>
      </c>
      <c r="E4" s="76" t="inlineStr">
        <is>
          <t>RECIBIDO DE:</t>
        </is>
      </c>
      <c r="F4" s="70" t="inlineStr">
        <is>
          <t>CONSUMO</t>
        </is>
      </c>
      <c r="G4" s="78" t="n"/>
      <c r="H4" s="79" t="n"/>
      <c r="I4" s="71" t="inlineStr">
        <is>
          <t>CANTIDAD
ENTREGADA</t>
        </is>
      </c>
      <c r="J4" s="71" t="inlineStr">
        <is>
          <t>SONDAJE</t>
        </is>
      </c>
      <c r="K4" s="71" t="inlineStr">
        <is>
          <t>STOCK
FINAL</t>
        </is>
      </c>
      <c r="L4" s="71" t="inlineStr">
        <is>
          <t>GUARDIA
CAPITAN/MOTORISTA</t>
        </is>
      </c>
      <c r="M4" s="79" t="n"/>
      <c r="N4" s="3" t="n"/>
      <c r="P4" s="1" t="n"/>
      <c r="Q4" s="1" t="n"/>
      <c r="R4" s="1" t="n"/>
      <c r="S4" s="1" t="n"/>
      <c r="T4" s="1" t="n"/>
    </row>
    <row r="5" ht="15" customHeight="1">
      <c r="B5" s="80" t="n"/>
      <c r="C5" s="81" t="n"/>
      <c r="D5" s="81" t="n"/>
      <c r="E5" s="81" t="n"/>
      <c r="F5" s="5" t="inlineStr">
        <is>
          <t>DIA</t>
        </is>
      </c>
      <c r="G5" s="75" t="inlineStr">
        <is>
          <t>NOCHE</t>
        </is>
      </c>
      <c r="H5" s="75" t="inlineStr">
        <is>
          <t>TOTAL</t>
        </is>
      </c>
      <c r="I5" s="81" t="n"/>
      <c r="J5" s="81" t="n"/>
      <c r="K5" s="81" t="n"/>
      <c r="L5" s="75" t="inlineStr">
        <is>
          <t>DIA</t>
        </is>
      </c>
      <c r="M5" s="6" t="inlineStr">
        <is>
          <t>NOCHE</t>
        </is>
      </c>
      <c r="N5" s="3" t="n"/>
    </row>
    <row r="6" ht="13.5" customHeight="1">
      <c r="B6" s="82" t="inlineStr">
        <is>
          <t>REMOLCADOR</t>
        </is>
      </c>
      <c r="C6" s="83" t="n"/>
      <c r="D6" s="83" t="n"/>
      <c r="E6" s="83" t="n"/>
      <c r="F6" s="83" t="n"/>
      <c r="G6" s="83" t="n"/>
      <c r="H6" s="83" t="n"/>
      <c r="I6" s="83" t="n"/>
      <c r="J6" s="83" t="n"/>
      <c r="K6" s="83" t="n"/>
      <c r="L6" s="83" t="n"/>
      <c r="M6" s="84" t="n"/>
      <c r="N6" s="17" t="n"/>
    </row>
    <row r="7" ht="24" customHeight="1">
      <c r="B7" s="18" t="inlineStr">
        <is>
          <t>LOBITOS EXPRESS (CARGA)</t>
        </is>
      </c>
      <c r="C7" s="19" t="n">
        <v>21927</v>
      </c>
      <c r="D7" s="19" t="n"/>
      <c r="E7" s="20" t="n"/>
      <c r="F7" s="19" t="n">
        <v>48</v>
      </c>
      <c r="G7" s="21" t="n">
        <v>48</v>
      </c>
      <c r="H7" s="19">
        <f>SUM(F7:G7)</f>
        <v/>
      </c>
      <c r="I7" s="19" t="n"/>
      <c r="J7" s="19" t="n"/>
      <c r="K7" s="21">
        <f>C7+D7-H7-I7+J7</f>
        <v/>
      </c>
      <c r="L7" s="51" t="inlineStr">
        <is>
          <t>CAPITÁN: -
MOTORISTA: -</t>
        </is>
      </c>
      <c r="M7" s="52" t="inlineStr">
        <is>
          <t>CAPITÁN: -
MOTORISTA: -</t>
        </is>
      </c>
      <c r="N7" s="22" t="n"/>
      <c r="V7" s="23" t="n"/>
    </row>
    <row r="8" ht="24" customHeight="1">
      <c r="B8" s="44" t="inlineStr">
        <is>
          <t>LOBITOS EXPRESS (CONSUMO)</t>
        </is>
      </c>
      <c r="C8" s="45" t="n">
        <v>0</v>
      </c>
      <c r="D8" s="45" t="n"/>
      <c r="E8" s="46" t="n"/>
      <c r="F8" s="45" t="n">
        <v>0</v>
      </c>
      <c r="G8" s="45" t="n">
        <v>0</v>
      </c>
      <c r="H8" s="45">
        <f>SUM(F8:G8)</f>
        <v/>
      </c>
      <c r="I8" s="45" t="n"/>
      <c r="J8" s="45" t="n"/>
      <c r="K8" s="45">
        <f>C8+D8-H8-I8+J8</f>
        <v/>
      </c>
      <c r="L8" s="53" t="n"/>
      <c r="M8" s="54" t="n"/>
      <c r="N8" s="67" t="n"/>
      <c r="V8" s="23" t="n"/>
    </row>
    <row r="9" ht="14.25" customHeight="1">
      <c r="B9" s="25" t="inlineStr">
        <is>
          <t>TOTALES</t>
        </is>
      </c>
      <c r="C9" s="26">
        <f>SUM(C7:C8)</f>
        <v/>
      </c>
      <c r="D9" s="26">
        <f>SUM(D7:D8)</f>
        <v/>
      </c>
      <c r="E9" s="26" t="n"/>
      <c r="F9" s="26" t="n"/>
      <c r="G9" s="26" t="n"/>
      <c r="H9" s="26">
        <f>SUM(H7:H8)</f>
        <v/>
      </c>
      <c r="I9" s="26">
        <f>SUM(I7:I8)</f>
        <v/>
      </c>
      <c r="J9" s="26" t="n"/>
      <c r="K9" s="26">
        <f>SUM(K7:K8)</f>
        <v/>
      </c>
      <c r="L9" s="27" t="n"/>
      <c r="M9" s="28" t="n"/>
    </row>
    <row r="10" ht="14.25" customHeight="1">
      <c r="B10" s="85" t="inlineStr">
        <is>
          <t>NAVE PASAJEROS/DESPACHADORES</t>
        </is>
      </c>
      <c r="C10" s="86" t="n"/>
      <c r="D10" s="86" t="n"/>
      <c r="E10" s="86" t="n"/>
      <c r="F10" s="86" t="n"/>
      <c r="G10" s="86" t="n"/>
      <c r="H10" s="86" t="n"/>
      <c r="I10" s="86" t="n"/>
      <c r="J10" s="86" t="n"/>
      <c r="K10" s="86" t="n"/>
      <c r="L10" s="86" t="n"/>
      <c r="M10" s="87" t="n"/>
      <c r="N10" s="29" t="n"/>
    </row>
    <row r="11" ht="24" customHeight="1">
      <c r="B11" s="30" t="inlineStr">
        <is>
          <t>PARIÑAS</t>
        </is>
      </c>
      <c r="C11" s="19" t="n">
        <v>5203</v>
      </c>
      <c r="D11" s="21" t="n"/>
      <c r="E11" s="20" t="n"/>
      <c r="F11" s="21" t="n">
        <v>226</v>
      </c>
      <c r="G11" s="31" t="n">
        <v>23</v>
      </c>
      <c r="H11" s="21">
        <f>SUM(F11:G11)</f>
        <v/>
      </c>
      <c r="I11" s="19" t="n">
        <v>200</v>
      </c>
      <c r="J11" s="19" t="n"/>
      <c r="K11" s="21">
        <f>C11+D11-H11-I11+J11</f>
        <v/>
      </c>
      <c r="L11" s="7" t="inlineStr">
        <is>
          <t>CAPITÁN: WILFREDO BOULANGER
MOTORISTA: JULIO MORALES</t>
        </is>
      </c>
      <c r="M11" s="7" t="inlineStr">
        <is>
          <t>CAPITÁN: MANUEL TINOCO
MOTORISTA: JUAN COSAVALENTE</t>
        </is>
      </c>
      <c r="N11" s="32" t="n"/>
    </row>
    <row r="12" ht="24" customHeight="1">
      <c r="B12" s="44" t="inlineStr">
        <is>
          <t>TALARA</t>
        </is>
      </c>
      <c r="C12" s="45" t="n">
        <v>2903</v>
      </c>
      <c r="D12" s="47" t="n"/>
      <c r="E12" s="48" t="n"/>
      <c r="F12" s="48" t="n">
        <v>26</v>
      </c>
      <c r="G12" s="48" t="n">
        <v>40</v>
      </c>
      <c r="H12" s="45">
        <f>SUM(F12:G12)</f>
        <v/>
      </c>
      <c r="I12" s="45" t="n"/>
      <c r="J12" s="45" t="n"/>
      <c r="K12" s="45">
        <f>C12+D12-H12-I12+J12</f>
        <v/>
      </c>
      <c r="L12" s="49" t="inlineStr">
        <is>
          <t>CAPITÁN: DONALD ZAPARA
MOTORISTA: SEGUNDO CESPEDES</t>
        </is>
      </c>
      <c r="M12" s="49" t="inlineStr">
        <is>
          <t>CAPITÁN: JOSE HIDALGO
MOTORISTA: PERCY PANTA</t>
        </is>
      </c>
      <c r="N12" s="22" t="n"/>
    </row>
    <row r="13" ht="24" customHeight="1">
      <c r="B13" s="33" t="inlineStr">
        <is>
          <t>OLYMPIC EXPRESS</t>
        </is>
      </c>
      <c r="C13" s="19" t="n">
        <v>2031</v>
      </c>
      <c r="D13" s="21" t="n">
        <v>200</v>
      </c>
      <c r="E13" s="20" t="inlineStr">
        <is>
          <t>PARIÑAS</t>
        </is>
      </c>
      <c r="F13" s="31" t="n">
        <v>134</v>
      </c>
      <c r="G13" s="31" t="n">
        <v>0</v>
      </c>
      <c r="H13" s="21">
        <f>SUM(F13:G13)</f>
        <v/>
      </c>
      <c r="I13" s="19" t="n"/>
      <c r="J13" s="19" t="n"/>
      <c r="K13" s="21">
        <f>C13+D13-H13-I13+J13</f>
        <v/>
      </c>
      <c r="L13" s="7" t="inlineStr">
        <is>
          <t>CAPITÁN: RICHAR ATOCHE
MOTORISTA: GERMAN CRUZ</t>
        </is>
      </c>
      <c r="M13" s="7" t="inlineStr">
        <is>
          <t>CAPITÁN: JORGE REQUENA
MOTORISTA: ROBERTO RECABARREN</t>
        </is>
      </c>
      <c r="N13" s="22" t="n"/>
    </row>
    <row r="14" ht="14.25" customHeight="1">
      <c r="B14" s="25" t="inlineStr">
        <is>
          <t>TOTALES</t>
        </is>
      </c>
      <c r="C14" s="26">
        <f>SUM(C11:C13)</f>
        <v/>
      </c>
      <c r="D14" s="26">
        <f>SUM(D11:D13)</f>
        <v/>
      </c>
      <c r="E14" s="26" t="n"/>
      <c r="F14" s="26" t="n"/>
      <c r="G14" s="26" t="n"/>
      <c r="H14" s="26">
        <f>SUM(H11:H13)</f>
        <v/>
      </c>
      <c r="I14" s="26">
        <f>SUM(I11:I13)</f>
        <v/>
      </c>
      <c r="J14" s="26" t="n"/>
      <c r="K14" s="26">
        <f>SUM(K11:K13)</f>
        <v/>
      </c>
      <c r="L14" s="27" t="n"/>
      <c r="M14" s="28" t="n"/>
      <c r="N14" s="17" t="n"/>
    </row>
    <row r="15" ht="14.25" customHeight="1">
      <c r="B15" s="85" t="inlineStr">
        <is>
          <t>NAVE RECORRIDO</t>
        </is>
      </c>
      <c r="C15" s="86" t="n"/>
      <c r="D15" s="86" t="n"/>
      <c r="E15" s="86" t="n"/>
      <c r="F15" s="86" t="n"/>
      <c r="G15" s="86" t="n"/>
      <c r="H15" s="86" t="n"/>
      <c r="I15" s="86" t="n"/>
      <c r="J15" s="86" t="n"/>
      <c r="K15" s="86" t="n"/>
      <c r="L15" s="86" t="n"/>
      <c r="M15" s="87" t="n"/>
      <c r="N15" s="29" t="n"/>
    </row>
    <row r="16" ht="24" customHeight="1">
      <c r="B16" s="33" t="inlineStr">
        <is>
          <t>DONALD ROBIN</t>
        </is>
      </c>
      <c r="C16" s="19" t="n">
        <v>442</v>
      </c>
      <c r="D16" s="19" t="n"/>
      <c r="E16" s="20" t="n"/>
      <c r="F16" s="21" t="n">
        <v>76</v>
      </c>
      <c r="G16" s="21" t="n">
        <v>60</v>
      </c>
      <c r="H16" s="21">
        <f>SUM(F16:G16)</f>
        <v/>
      </c>
      <c r="I16" s="19" t="n"/>
      <c r="J16" s="19" t="n"/>
      <c r="K16" s="19">
        <f>C16+D16-H16-I16+J16</f>
        <v/>
      </c>
      <c r="L16" s="7" t="inlineStr">
        <is>
          <t>CAPITÁN: FRANCISCO PAIVA ECA
MOTORISTA: JOSE SANTOS PANTA PUESCAS</t>
        </is>
      </c>
      <c r="M16" s="7" t="inlineStr">
        <is>
          <t>CAPITÁN: DIA
MOTORISTA: DIA</t>
        </is>
      </c>
      <c r="N16" s="22" t="n"/>
    </row>
    <row r="17" ht="24" customFormat="1" customHeight="1" s="35">
      <c r="B17" s="44" t="inlineStr">
        <is>
          <t>SHEILA R</t>
        </is>
      </c>
      <c r="C17" s="45" t="n">
        <v>423</v>
      </c>
      <c r="D17" s="45" t="n"/>
      <c r="E17" s="48" t="n"/>
      <c r="F17" s="45" t="n">
        <v>52</v>
      </c>
      <c r="G17" s="45" t="n">
        <v>58</v>
      </c>
      <c r="H17" s="45">
        <f>SUM(F17:G17)</f>
        <v/>
      </c>
      <c r="I17" s="45" t="n"/>
      <c r="J17" s="45" t="n"/>
      <c r="K17" s="45">
        <f>C17+D17-H17-I17+J17</f>
        <v/>
      </c>
      <c r="L17" s="49" t="inlineStr">
        <is>
          <t>CAPITÁN: RICHARD PANTA
MOTORISTA: JAVIER PEÑA</t>
        </is>
      </c>
      <c r="M17" s="49" t="inlineStr">
        <is>
          <t>CAPITÁN: CORONADO CHIROQUE JUAN CARLOS
MOTORISTA: NUÑEZ CHUNGA JULIO CESAR</t>
        </is>
      </c>
      <c r="N17" s="17" t="n"/>
    </row>
    <row r="18" ht="24" customHeight="1">
      <c r="B18" s="33" t="inlineStr">
        <is>
          <t>IRIS</t>
        </is>
      </c>
      <c r="C18" s="19" t="n">
        <v>497</v>
      </c>
      <c r="D18" s="19" t="n"/>
      <c r="E18" s="20" t="n"/>
      <c r="F18" s="21" t="n">
        <v>45</v>
      </c>
      <c r="G18" s="21" t="n">
        <v>38</v>
      </c>
      <c r="H18" s="21">
        <f>SUM(F18:G18)</f>
        <v/>
      </c>
      <c r="I18" s="19" t="n"/>
      <c r="J18" s="19" t="n"/>
      <c r="K18" s="19">
        <f>C18+D18-H18-I18+J18</f>
        <v/>
      </c>
      <c r="L18" s="7" t="inlineStr">
        <is>
          <t>CAPITÁN: JUAN COSAVALENTE
MOTORISTA: RICARDO MORAN AROCHE</t>
        </is>
      </c>
      <c r="M18" s="7" t="inlineStr">
        <is>
          <t>CAPITÁN: DIA
MOTORISTA: DIA</t>
        </is>
      </c>
      <c r="N18" s="22" t="n"/>
    </row>
    <row r="19" ht="24" customHeight="1">
      <c r="B19" s="44" t="inlineStr">
        <is>
          <t>VILMA</t>
        </is>
      </c>
      <c r="C19" s="45" t="n">
        <v>0</v>
      </c>
      <c r="D19" s="45" t="n"/>
      <c r="E19" s="48" t="n"/>
      <c r="F19" s="45" t="n">
        <v>0</v>
      </c>
      <c r="G19" s="45" t="n">
        <v>0</v>
      </c>
      <c r="H19" s="45">
        <f>SUM(F19:G19)</f>
        <v/>
      </c>
      <c r="I19" s="45" t="n"/>
      <c r="J19" s="45" t="n"/>
      <c r="K19" s="45">
        <f>C19+D19-H19-I19+J19</f>
        <v/>
      </c>
      <c r="L19" s="49" t="inlineStr">
        <is>
          <t>CAPITÁN: VARADERO
MOTORISTA: VARADERO</t>
        </is>
      </c>
      <c r="M19" s="49" t="inlineStr">
        <is>
          <t>CAPITÁN: VARADERO
MOTORISTA: VARADERO</t>
        </is>
      </c>
      <c r="N19" s="67" t="n"/>
    </row>
    <row r="20" ht="24" customHeight="1">
      <c r="B20" s="33" t="inlineStr">
        <is>
          <t>ROSLYN</t>
        </is>
      </c>
      <c r="C20" s="19" t="n">
        <v>558</v>
      </c>
      <c r="D20" s="19" t="n"/>
      <c r="E20" s="20" t="n"/>
      <c r="F20" s="21" t="n">
        <v>76</v>
      </c>
      <c r="G20" s="21" t="n">
        <v>0</v>
      </c>
      <c r="H20" s="21">
        <f>SUM(F20:G20)</f>
        <v/>
      </c>
      <c r="I20" s="19" t="n"/>
      <c r="J20" s="19" t="n"/>
      <c r="K20" s="19">
        <f>C20+D20-H20-I20+J20</f>
        <v/>
      </c>
      <c r="L20" s="7" t="inlineStr">
        <is>
          <t>CAPITÁN: JAIME PANTA PANTA
MOTORISTA: CARLOS NIZAMA AREVALO</t>
        </is>
      </c>
      <c r="M20" s="7" t="inlineStr">
        <is>
          <t>CAPITÁN: AGUSTIN MONTES
MOTORISTA: MANUEL VITE</t>
        </is>
      </c>
    </row>
    <row r="21" ht="24" customHeight="1">
      <c r="B21" s="44" t="inlineStr">
        <is>
          <t>CHIP II</t>
        </is>
      </c>
      <c r="C21" s="45" t="n">
        <v>378</v>
      </c>
      <c r="D21" s="45" t="n"/>
      <c r="E21" s="48" t="n"/>
      <c r="F21" s="45" t="n">
        <v>23</v>
      </c>
      <c r="G21" s="45" t="n">
        <v>0</v>
      </c>
      <c r="H21" s="45">
        <f>SUM(F21:G21)</f>
        <v/>
      </c>
      <c r="I21" s="45" t="n"/>
      <c r="J21" s="45" t="n"/>
      <c r="K21" s="45">
        <f>C21+D21-H21-I21+J21</f>
        <v/>
      </c>
      <c r="L21" s="49" t="inlineStr">
        <is>
          <t>CAPITÁN: CARLOS LEYTON DÍAZ
MOTORISTA: VICTOR SAAVEDRA SOCOLA</t>
        </is>
      </c>
      <c r="M21" s="49" t="inlineStr">
        <is>
          <t>CAPITÁN: JUAN FRANCISCO VILCHEZ NOLE
MOTORISTA: ARMANDO ECA RAMIREZ</t>
        </is>
      </c>
    </row>
    <row r="22" ht="24" customHeight="1">
      <c r="B22" s="33" t="inlineStr">
        <is>
          <t>BUCKLEY EXPRESS</t>
        </is>
      </c>
      <c r="C22" s="19" t="n">
        <v>594</v>
      </c>
      <c r="D22" s="19" t="n"/>
      <c r="E22" s="31" t="n"/>
      <c r="F22" s="21" t="n">
        <v>129</v>
      </c>
      <c r="G22" s="21" t="n">
        <v>0</v>
      </c>
      <c r="H22" s="21">
        <f>SUM(F22:G22)</f>
        <v/>
      </c>
      <c r="I22" s="21" t="n"/>
      <c r="J22" s="21" t="n"/>
      <c r="K22" s="19">
        <f>C22+D22-H22-I22+J22</f>
        <v/>
      </c>
      <c r="L22" s="7" t="inlineStr">
        <is>
          <t>CAPITÁN: JUAN VILCHEZ
MOTORISTA: CARLOS BALDA</t>
        </is>
      </c>
      <c r="M22" s="7" t="inlineStr">
        <is>
          <t>CAPITÁN: DIA
MOTORISTA: DIA</t>
        </is>
      </c>
      <c r="N22" s="67" t="n"/>
    </row>
    <row r="23" ht="24" customHeight="1">
      <c r="B23" s="44" t="inlineStr">
        <is>
          <t>CABO BLANCO</t>
        </is>
      </c>
      <c r="C23" s="45" t="n">
        <v>600</v>
      </c>
      <c r="D23" s="45" t="n"/>
      <c r="E23" s="48" t="n"/>
      <c r="F23" s="45" t="n">
        <v>30</v>
      </c>
      <c r="G23" s="45" t="n">
        <v>0</v>
      </c>
      <c r="H23" s="45">
        <f>SUM(F23:G23)</f>
        <v/>
      </c>
      <c r="I23" s="45" t="n"/>
      <c r="J23" s="45" t="n"/>
      <c r="K23" s="45">
        <f>C23+D23-H23-I23+J23</f>
        <v/>
      </c>
      <c r="L23" s="49" t="inlineStr">
        <is>
          <t>CAPITÁN: HUARACHA ALCIDES
MOTORISTA: GUILLERMO LOPE</t>
        </is>
      </c>
      <c r="M23" s="49" t="inlineStr">
        <is>
          <t>CAPITÁN: DIA
MOTORISTA: DIA</t>
        </is>
      </c>
      <c r="N23" s="22" t="n"/>
    </row>
    <row r="24" ht="14.25" customHeight="1">
      <c r="B24" s="25" t="inlineStr">
        <is>
          <t>TOTALES</t>
        </is>
      </c>
      <c r="C24" s="26">
        <f>SUM(C16:C23)</f>
        <v/>
      </c>
      <c r="D24" s="26">
        <f>SUM(D16:D23)</f>
        <v/>
      </c>
      <c r="E24" s="26" t="n"/>
      <c r="F24" s="26" t="n"/>
      <c r="G24" s="26" t="n"/>
      <c r="H24" s="26">
        <f>SUM(H16:H23)</f>
        <v/>
      </c>
      <c r="I24" s="26">
        <f>SUM(I16:I23)</f>
        <v/>
      </c>
      <c r="J24" s="26" t="n"/>
      <c r="K24" s="26">
        <f>SUM(K16:K23)</f>
        <v/>
      </c>
      <c r="L24" s="27" t="n"/>
      <c r="M24" s="28" t="n"/>
      <c r="N24" s="17" t="n"/>
      <c r="V24" s="23" t="n"/>
    </row>
    <row r="25" ht="14.25" customHeight="1">
      <c r="B25" s="85" t="inlineStr">
        <is>
          <t>BARCAZA</t>
        </is>
      </c>
      <c r="C25" s="86" t="n"/>
      <c r="D25" s="86" t="n"/>
      <c r="E25" s="86" t="n"/>
      <c r="F25" s="86" t="n"/>
      <c r="G25" s="86" t="n"/>
      <c r="H25" s="86" t="n"/>
      <c r="I25" s="86" t="n"/>
      <c r="J25" s="86" t="n"/>
      <c r="K25" s="86" t="n"/>
      <c r="L25" s="86" t="n"/>
      <c r="M25" s="87" t="n"/>
      <c r="N25" s="29" t="n"/>
      <c r="V25" s="23" t="n"/>
    </row>
    <row r="26" ht="24" customHeight="1">
      <c r="B26" s="33" t="inlineStr">
        <is>
          <t>ELIZABETH</t>
        </is>
      </c>
      <c r="C26" s="19" t="n">
        <v>1573</v>
      </c>
      <c r="D26" s="21" t="n"/>
      <c r="E26" s="34" t="n"/>
      <c r="F26" s="21" t="n">
        <v>28</v>
      </c>
      <c r="G26" s="34" t="n">
        <v>18</v>
      </c>
      <c r="H26" s="19">
        <f>SUM(F26:G26)</f>
        <v/>
      </c>
      <c r="I26" s="19" t="n"/>
      <c r="J26" s="19" t="n"/>
      <c r="K26" s="19">
        <f>C26+D26-H26-I26+J26</f>
        <v/>
      </c>
      <c r="L26" s="7" t="inlineStr">
        <is>
          <t>CAPITÁN: LUIS ZAPATA BAYONA
MOTORISTA: VASQUEZ MORALES</t>
        </is>
      </c>
      <c r="M26" s="7" t="inlineStr">
        <is>
          <t>CAPITÁN: LUIS ZAPATA BAYONA
MOTORISTA: VASQUEZ MORALES</t>
        </is>
      </c>
      <c r="N26" s="17" t="n"/>
      <c r="V26" s="23" t="n"/>
    </row>
    <row r="27" ht="24" customHeight="1">
      <c r="B27" s="44" t="inlineStr">
        <is>
          <t>ORO</t>
        </is>
      </c>
      <c r="C27" s="45" t="n">
        <v>1780</v>
      </c>
      <c r="D27" s="47" t="n"/>
      <c r="E27" s="47" t="n"/>
      <c r="F27" s="45" t="n">
        <v>36</v>
      </c>
      <c r="G27" s="47" t="n">
        <v>36</v>
      </c>
      <c r="H27" s="45">
        <f>SUM(F27:G27)</f>
        <v/>
      </c>
      <c r="I27" s="45" t="n"/>
      <c r="J27" s="45" t="n"/>
      <c r="K27" s="45">
        <f>C27+D27-H27-I27+J27</f>
        <v/>
      </c>
      <c r="L27" s="49" t="inlineStr">
        <is>
          <t>CAPITÁN: ALFONSO SANTIBAÑEZ
MOTORISTA: YISDAN HUANCA</t>
        </is>
      </c>
      <c r="M27" s="49" t="inlineStr">
        <is>
          <t>CAPITÁN: ALFONSO SANTIBAÑEZ
MOTORISTA: MARIO SOSA</t>
        </is>
      </c>
      <c r="N27" s="22" t="n"/>
      <c r="V27" s="23" t="n"/>
    </row>
    <row r="28" ht="24" customHeight="1">
      <c r="B28" s="33" t="inlineStr">
        <is>
          <t>ROGUE</t>
        </is>
      </c>
      <c r="C28" s="19" t="n">
        <v>1984</v>
      </c>
      <c r="D28" s="36" t="n"/>
      <c r="E28" s="36" t="n"/>
      <c r="F28" s="21" t="n">
        <v>39</v>
      </c>
      <c r="G28" s="21" t="n">
        <v>40</v>
      </c>
      <c r="H28" s="21">
        <f>SUM(F28:G28)</f>
        <v/>
      </c>
      <c r="I28" s="21" t="n"/>
      <c r="J28" s="21" t="n"/>
      <c r="K28" s="19">
        <f>C28+D28-H28-I28+J28</f>
        <v/>
      </c>
      <c r="L28" s="7" t="inlineStr">
        <is>
          <t>CAPITÁN: LUIS GARCIA VALDIVIEZO
MOTORISTA: JOSE OTERO CRUZ</t>
        </is>
      </c>
      <c r="M28" s="7" t="inlineStr">
        <is>
          <t>CAPITÁN: LUIS GARCIA VALDIVIEZO
MOTORISTA: JAMES CRUZ AYALA</t>
        </is>
      </c>
      <c r="N28" s="22" t="n"/>
    </row>
    <row r="29" ht="24" customHeight="1">
      <c r="B29" s="44" t="inlineStr">
        <is>
          <t>MR. BOB</t>
        </is>
      </c>
      <c r="C29" s="45" t="n">
        <v>2423</v>
      </c>
      <c r="D29" s="45" t="n"/>
      <c r="E29" s="47" t="n"/>
      <c r="F29" s="45" t="n">
        <v>116</v>
      </c>
      <c r="G29" s="45" t="n">
        <v>52</v>
      </c>
      <c r="H29" s="45">
        <f>SUM(F29:G29)</f>
        <v/>
      </c>
      <c r="I29" s="45" t="n"/>
      <c r="J29" s="45" t="n"/>
      <c r="K29" s="45">
        <f>C29+D29-H29-I29+J29</f>
        <v/>
      </c>
      <c r="L29" s="49" t="inlineStr">
        <is>
          <t>CAPITÁN: ARTURO REVOLLEDO RETO
MOTORISTA: GERMAN CHUNGA</t>
        </is>
      </c>
      <c r="M29" s="49" t="inlineStr">
        <is>
          <t>CAPITÁN: CARLOS MORE
MOTORISTA: GERMAN CHUNGA</t>
        </is>
      </c>
      <c r="N29" s="67" t="n"/>
    </row>
    <row r="30" ht="14.25" customHeight="1">
      <c r="B30" s="25" t="inlineStr">
        <is>
          <t>TOTALES</t>
        </is>
      </c>
      <c r="C30" s="26">
        <f>SUM(C26:C29)</f>
        <v/>
      </c>
      <c r="D30" s="26">
        <f>SUM(D26:D29)</f>
        <v/>
      </c>
      <c r="E30" s="26" t="n"/>
      <c r="F30" s="26" t="n"/>
      <c r="G30" s="26" t="n"/>
      <c r="H30" s="26">
        <f>SUM(H26:H29)</f>
        <v/>
      </c>
      <c r="I30" s="26">
        <f>SUM(I26:I29)</f>
        <v/>
      </c>
      <c r="J30" s="26" t="n"/>
      <c r="K30" s="26">
        <f>SUM(K26:K29)</f>
        <v/>
      </c>
      <c r="L30" s="27" t="n"/>
      <c r="M30" s="37" t="n"/>
      <c r="N30" s="17" t="n"/>
    </row>
    <row r="31" ht="14.25" customHeight="1">
      <c r="B31" s="85" t="inlineStr">
        <is>
          <t>FLOTA TALARA</t>
        </is>
      </c>
      <c r="C31" s="86" t="n"/>
      <c r="D31" s="86" t="n"/>
      <c r="E31" s="86" t="n"/>
      <c r="F31" s="86" t="n"/>
      <c r="G31" s="86" t="n"/>
      <c r="H31" s="86" t="n"/>
      <c r="I31" s="86" t="n"/>
      <c r="J31" s="86" t="n"/>
      <c r="K31" s="86" t="n"/>
      <c r="L31" s="86" t="n"/>
      <c r="M31" s="87" t="n"/>
      <c r="N31" s="29" t="n"/>
    </row>
    <row r="32" ht="24" customHeight="1">
      <c r="B32" s="33" t="inlineStr">
        <is>
          <t>LJ KELLEY</t>
        </is>
      </c>
      <c r="C32" s="19" t="n">
        <v>581</v>
      </c>
      <c r="D32" s="21" t="n"/>
      <c r="E32" s="20" t="n"/>
      <c r="F32" s="21" t="n">
        <v>99</v>
      </c>
      <c r="G32" s="21" t="n">
        <v>18</v>
      </c>
      <c r="H32" s="19">
        <f>SUM(F32:G32)</f>
        <v/>
      </c>
      <c r="I32" s="19" t="n"/>
      <c r="J32" s="19" t="n"/>
      <c r="K32" s="21">
        <f>C32+D32-H32-I32+J32</f>
        <v/>
      </c>
      <c r="L32" s="7" t="inlineStr">
        <is>
          <t>CAPITÁN: RAMON JACINTO TUME
MOTORISTA: PERCY NAVARRO MARTINEZ</t>
        </is>
      </c>
      <c r="M32" s="8" t="inlineStr">
        <is>
          <t>CAPITÁN: T.DIA
MOTORISTA: T.DIA</t>
        </is>
      </c>
      <c r="N32" s="22" t="n"/>
    </row>
    <row r="33" ht="14.25" customHeight="1">
      <c r="B33" s="38" t="inlineStr">
        <is>
          <t>TOTALES</t>
        </is>
      </c>
      <c r="C33" s="39">
        <f>SUM(C32:C32)</f>
        <v/>
      </c>
      <c r="D33" s="39">
        <f>SUM(D32:D32)</f>
        <v/>
      </c>
      <c r="E33" s="39" t="n"/>
      <c r="F33" s="39" t="n"/>
      <c r="G33" s="39" t="n"/>
      <c r="H33" s="39">
        <f>SUM(H32:H32)</f>
        <v/>
      </c>
      <c r="I33" s="39">
        <f>SUM(I32:I32)</f>
        <v/>
      </c>
      <c r="J33" s="39" t="n"/>
      <c r="K33" s="39">
        <f>SUM(K32:K32)</f>
        <v/>
      </c>
      <c r="L33" s="39" t="n"/>
      <c r="M33" s="40" t="n"/>
      <c r="N33" s="17" t="n"/>
    </row>
    <row r="34" ht="14.25" customHeight="1">
      <c r="B34" s="55" t="n"/>
      <c r="C34" s="56" t="n"/>
      <c r="D34" s="56" t="n"/>
      <c r="E34" s="56" t="n"/>
      <c r="F34" s="56" t="n"/>
      <c r="G34" s="56" t="n"/>
      <c r="H34" s="56" t="n"/>
      <c r="I34" s="56" t="n"/>
      <c r="J34" s="56" t="n"/>
      <c r="K34" s="56" t="n"/>
      <c r="L34" s="56" t="n"/>
      <c r="M34" s="56" t="n"/>
      <c r="N34" s="22" t="n"/>
    </row>
    <row r="35" ht="14.25" customHeight="1">
      <c r="B35" s="41" t="n"/>
      <c r="C35" s="32" t="n"/>
      <c r="D35" s="32" t="n"/>
      <c r="E35" s="32" t="n"/>
      <c r="F35" s="32" t="n"/>
      <c r="G35" s="32" t="n"/>
      <c r="H35" s="32" t="n"/>
      <c r="I35" s="32" t="n"/>
      <c r="J35" s="32" t="n"/>
      <c r="K35" s="32" t="n"/>
      <c r="L35" s="32" t="n"/>
      <c r="M35" s="32" t="n"/>
      <c r="N35" s="22" t="n"/>
    </row>
    <row r="36" ht="31.5" customHeight="1">
      <c r="B36" s="16" t="inlineStr">
        <is>
          <t>CONSUMO DIARIO DIESEL
FLOTA MARÍTIMA</t>
        </is>
      </c>
      <c r="D36" s="57" t="inlineStr">
        <is>
          <t>ABASTECEDORES</t>
        </is>
      </c>
      <c r="E36" s="88" t="n"/>
      <c r="F36" s="88" t="n"/>
      <c r="G36" s="88" t="n"/>
      <c r="H36" s="88" t="n"/>
      <c r="I36" s="88" t="n"/>
      <c r="J36" s="88" t="n"/>
      <c r="K36" s="89" t="n"/>
      <c r="L36" s="17" t="n"/>
      <c r="M36" s="17" t="n"/>
      <c r="N36" s="17" t="n"/>
    </row>
    <row r="37" ht="14.25" customHeight="1">
      <c r="B37" s="60">
        <f>H14+H24+H30+H33+H9</f>
        <v/>
      </c>
      <c r="D37" s="57" t="inlineStr">
        <is>
          <t>NAVE</t>
        </is>
      </c>
      <c r="E37" s="90" t="n"/>
      <c r="F37" s="91" t="n"/>
      <c r="G37" s="57" t="inlineStr">
        <is>
          <t>ENTREGAS</t>
        </is>
      </c>
      <c r="H37" s="88" t="n"/>
      <c r="I37" s="88" t="n"/>
      <c r="J37" s="88" t="n"/>
      <c r="K37" s="89" t="n"/>
      <c r="L37" s="17" t="n"/>
      <c r="M37" s="17" t="n"/>
      <c r="N37" s="17" t="n"/>
    </row>
    <row r="38" ht="14.25" customHeight="1">
      <c r="B38" s="81" t="n"/>
      <c r="D38" s="92" t="n"/>
      <c r="E38" s="93" t="n"/>
      <c r="F38" s="94" t="n"/>
      <c r="G38" s="57" t="inlineStr">
        <is>
          <t>DESTINO</t>
        </is>
      </c>
      <c r="H38" s="88" t="n"/>
      <c r="I38" s="89" t="n"/>
      <c r="J38" s="57" t="inlineStr">
        <is>
          <t>CANTIDAD</t>
        </is>
      </c>
      <c r="K38" s="57" t="inlineStr">
        <is>
          <t>N° VALE</t>
        </is>
      </c>
      <c r="L38" s="42" t="n"/>
      <c r="M38" s="42" t="n"/>
      <c r="N38" s="42" t="n"/>
      <c r="U38" s="10" t="n"/>
    </row>
    <row r="39" ht="14.4" customHeight="1">
      <c r="D39" s="58" t="inlineStr">
        <is>
          <t>LOBITOS EXPRESS (CARGA)</t>
        </is>
      </c>
      <c r="E39" s="95" t="n"/>
      <c r="F39" s="96" t="n"/>
      <c r="G39" s="59" t="inlineStr">
        <is>
          <t>OLYMPIC</t>
        </is>
      </c>
      <c r="H39" s="95" t="n"/>
      <c r="I39" s="96" t="n"/>
      <c r="J39" s="59" t="n">
        <v>200</v>
      </c>
      <c r="K39" s="59" t="inlineStr">
        <is>
          <t>2881</t>
        </is>
      </c>
      <c r="L39" s="42" t="n"/>
      <c r="M39" s="42" t="n"/>
      <c r="N39" s="42" t="n"/>
      <c r="P39" s="42" t="n"/>
      <c r="Q39" s="43" t="n"/>
      <c r="R39" s="43" t="n"/>
      <c r="S39" s="43" t="n"/>
      <c r="U39" s="10" t="n"/>
    </row>
    <row r="40" ht="15" customHeight="1">
      <c r="R40" s="11" t="n"/>
      <c r="U40" s="10" t="n"/>
    </row>
    <row r="41" ht="15" customHeight="1">
      <c r="G41" s="32" t="n"/>
      <c r="H41" s="32" t="n"/>
      <c r="R41" s="11" t="n"/>
      <c r="U41" s="10" t="n"/>
    </row>
    <row r="42" ht="15" customHeight="1">
      <c r="G42" s="32" t="n"/>
      <c r="H42" s="32" t="n"/>
      <c r="R42" s="11" t="n"/>
      <c r="U42" s="10" t="n"/>
    </row>
    <row r="43" ht="15" customHeight="1">
      <c r="R43" s="11" t="n"/>
      <c r="U43" s="10" t="n"/>
    </row>
    <row r="44" ht="15" customHeight="1"/>
    <row r="45" ht="15" customHeight="1"/>
    <row r="46" ht="15" customHeight="1"/>
    <row r="47" ht="15" customHeight="1"/>
    <row r="48" ht="15" customHeight="1">
      <c r="G48" s="35" t="n"/>
      <c r="H48" s="35" t="n"/>
    </row>
    <row r="49" ht="15" customHeight="1">
      <c r="G49" s="35" t="n"/>
      <c r="H49" s="35" t="n"/>
    </row>
    <row r="50" ht="15" customHeight="1"/>
    <row r="51" ht="15" customHeight="1"/>
    <row r="52" ht="15" customHeight="1"/>
    <row r="53" ht="15" customHeight="1"/>
    <row r="54" ht="15" customHeight="1"/>
  </sheetData>
  <mergeCells count="24">
    <mergeCell ref="G38:I38"/>
    <mergeCell ref="B2:M2"/>
    <mergeCell ref="C4:C5"/>
    <mergeCell ref="E4:E5"/>
    <mergeCell ref="B1:M1"/>
    <mergeCell ref="D36:K36"/>
    <mergeCell ref="B10:M10"/>
    <mergeCell ref="D4:D5"/>
    <mergeCell ref="N8:N9"/>
    <mergeCell ref="J4:J5"/>
    <mergeCell ref="G37:K37"/>
    <mergeCell ref="D39:F39"/>
    <mergeCell ref="B37:B38"/>
    <mergeCell ref="B6:M6"/>
    <mergeCell ref="B15:M15"/>
    <mergeCell ref="L4:M4"/>
    <mergeCell ref="I4:I5"/>
    <mergeCell ref="K4:K5"/>
    <mergeCell ref="F4:H4"/>
    <mergeCell ref="B4:B5"/>
    <mergeCell ref="B25:M25"/>
    <mergeCell ref="B31:M31"/>
    <mergeCell ref="G39:I39"/>
    <mergeCell ref="D37:F38"/>
  </mergeCells>
  <printOptions horizontalCentered="1" verticalCentered="1"/>
  <pageMargins left="0" right="0" top="0" bottom="0" header="0" footer="0"/>
  <pageSetup orientation="landscape" paperSize="9" scale="70" useFirstPageNumber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2011-05-15T07:37:18Z</dcterms:created>
  <dcterms:modified xmlns:dcterms="http://purl.org/dc/terms/" xmlns:xsi="http://www.w3.org/2001/XMLSchema-instance" xsi:type="dcterms:W3CDTF">2026-06-08T06:13:00Z</dcterms:modified>
  <cp:lastPrinted>2026-05-18T11:44:47Z</cp:lastPrinted>
</cp:coreProperties>
</file>